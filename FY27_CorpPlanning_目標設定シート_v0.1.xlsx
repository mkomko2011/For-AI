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記入方法" sheetId="1" state="visible" r:id="rId3"/>
    <sheet name="目標設定シート" sheetId="2" state="visible" r:id="rId4"/>
    <sheet name="記入例_L1" sheetId="3" state="visible" r:id="rId5"/>
    <sheet name="記入例_L4" sheetId="4" state="visible" r:id="rId6"/>
    <sheet name="マスタ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L1</t>
        </r>
        <r>
          <rPr>
            <sz val="10"/>
            <rFont val="WenQuanYi Zen Hei"/>
            <family val="2"/>
          </rPr>
          <t xml:space="preserve">〜</t>
        </r>
        <r>
          <rPr>
            <sz val="10"/>
            <rFont val="Arial"/>
            <family val="2"/>
          </rPr>
          <t xml:space="preserve">L6</t>
        </r>
        <r>
          <rPr>
            <sz val="10"/>
            <rFont val="WenQuanYi Zen Hei"/>
            <family val="2"/>
          </rPr>
          <t xml:space="preserve">から選ぶと、タイトル・</t>
        </r>
        <r>
          <rPr>
            <sz val="10"/>
            <rFont val="Arial"/>
            <family val="2"/>
          </rPr>
          <t xml:space="preserve">INTS</t>
        </r>
        <r>
          <rPr>
            <sz val="10"/>
            <rFont val="WenQuanYi Zen Hei"/>
            <family val="2"/>
          </rPr>
          <t xml:space="preserve">等級・ウェイト・期待水準が自動表示されます。</t>
        </r>
      </text>
    </comment>
    <comment ref="C9" authorId="0">
      <text>
        <r>
          <rPr>
            <sz val="10"/>
            <rFont val="Arial"/>
            <family val="2"/>
          </rPr>
          <t xml:space="preserve">6</t>
        </r>
        <r>
          <rPr>
            <sz val="10"/>
            <rFont val="WenQuanYi Zen Hei"/>
            <family val="2"/>
          </rPr>
          <t xml:space="preserve">つの専門領域から主担当を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つ選びます。</t>
        </r>
        <r>
          <rPr>
            <sz val="10"/>
            <rFont val="Arial"/>
            <family val="2"/>
          </rPr>
          <t xml:space="preserve">L1</t>
        </r>
        <r>
          <rPr>
            <sz val="10"/>
            <rFont val="WenQuanYi Zen Hei"/>
            <family val="2"/>
          </rPr>
          <t xml:space="preserve">〜</t>
        </r>
        <r>
          <rPr>
            <sz val="10"/>
            <rFont val="Arial"/>
            <family val="2"/>
          </rPr>
          <t xml:space="preserve">L3</t>
        </r>
        <r>
          <rPr>
            <sz val="10"/>
            <rFont val="WenQuanYi Zen Hei"/>
            <family val="2"/>
          </rPr>
          <t xml:space="preserve">は、この領域の次のレベルのスキルを育成目標にします。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L1</t>
        </r>
        <r>
          <rPr>
            <sz val="10"/>
            <rFont val="WenQuanYi Zen Hei"/>
            <family val="2"/>
          </rPr>
          <t xml:space="preserve">〜</t>
        </r>
        <r>
          <rPr>
            <sz val="10"/>
            <rFont val="Arial"/>
            <family val="2"/>
          </rPr>
          <t xml:space="preserve">L6</t>
        </r>
        <r>
          <rPr>
            <sz val="10"/>
            <rFont val="WenQuanYi Zen Hei"/>
            <family val="2"/>
          </rPr>
          <t xml:space="preserve">から選ぶと、タイトル・</t>
        </r>
        <r>
          <rPr>
            <sz val="10"/>
            <rFont val="Arial"/>
            <family val="2"/>
          </rPr>
          <t xml:space="preserve">INTS</t>
        </r>
        <r>
          <rPr>
            <sz val="10"/>
            <rFont val="WenQuanYi Zen Hei"/>
            <family val="2"/>
          </rPr>
          <t xml:space="preserve">等級・ウェイト・期待水準が自動表示されます。</t>
        </r>
      </text>
    </comment>
    <comment ref="C9" authorId="0">
      <text>
        <r>
          <rPr>
            <sz val="10"/>
            <rFont val="Arial"/>
            <family val="2"/>
          </rPr>
          <t xml:space="preserve">6</t>
        </r>
        <r>
          <rPr>
            <sz val="10"/>
            <rFont val="WenQuanYi Zen Hei"/>
            <family val="2"/>
          </rPr>
          <t xml:space="preserve">つの専門領域から主担当を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つ選びます。</t>
        </r>
        <r>
          <rPr>
            <sz val="10"/>
            <rFont val="Arial"/>
            <family val="2"/>
          </rPr>
          <t xml:space="preserve">L1</t>
        </r>
        <r>
          <rPr>
            <sz val="10"/>
            <rFont val="WenQuanYi Zen Hei"/>
            <family val="2"/>
          </rPr>
          <t xml:space="preserve">〜</t>
        </r>
        <r>
          <rPr>
            <sz val="10"/>
            <rFont val="Arial"/>
            <family val="2"/>
          </rPr>
          <t xml:space="preserve">L3</t>
        </r>
        <r>
          <rPr>
            <sz val="10"/>
            <rFont val="WenQuanYi Zen Hei"/>
            <family val="2"/>
          </rPr>
          <t xml:space="preserve">は、この領域の次のレベルのスキルを育成目標にします。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L1</t>
        </r>
        <r>
          <rPr>
            <sz val="10"/>
            <rFont val="WenQuanYi Zen Hei"/>
            <family val="2"/>
          </rPr>
          <t xml:space="preserve">〜</t>
        </r>
        <r>
          <rPr>
            <sz val="10"/>
            <rFont val="Arial"/>
            <family val="2"/>
          </rPr>
          <t xml:space="preserve">L6</t>
        </r>
        <r>
          <rPr>
            <sz val="10"/>
            <rFont val="WenQuanYi Zen Hei"/>
            <family val="2"/>
          </rPr>
          <t xml:space="preserve">から選ぶと、タイトル・</t>
        </r>
        <r>
          <rPr>
            <sz val="10"/>
            <rFont val="Arial"/>
            <family val="2"/>
          </rPr>
          <t xml:space="preserve">INTS</t>
        </r>
        <r>
          <rPr>
            <sz val="10"/>
            <rFont val="WenQuanYi Zen Hei"/>
            <family val="2"/>
          </rPr>
          <t xml:space="preserve">等級・ウェイト・期待水準が自動表示されます。</t>
        </r>
      </text>
    </comment>
    <comment ref="C9" authorId="0">
      <text>
        <r>
          <rPr>
            <sz val="10"/>
            <rFont val="Arial"/>
            <family val="2"/>
          </rPr>
          <t xml:space="preserve">6</t>
        </r>
        <r>
          <rPr>
            <sz val="10"/>
            <rFont val="WenQuanYi Zen Hei"/>
            <family val="2"/>
          </rPr>
          <t xml:space="preserve">つの専門領域から主担当を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つ選びます。</t>
        </r>
        <r>
          <rPr>
            <sz val="10"/>
            <rFont val="Arial"/>
            <family val="2"/>
          </rPr>
          <t xml:space="preserve">L1</t>
        </r>
        <r>
          <rPr>
            <sz val="10"/>
            <rFont val="WenQuanYi Zen Hei"/>
            <family val="2"/>
          </rPr>
          <t xml:space="preserve">〜</t>
        </r>
        <r>
          <rPr>
            <sz val="10"/>
            <rFont val="Arial"/>
            <family val="2"/>
          </rPr>
          <t xml:space="preserve">L3</t>
        </r>
        <r>
          <rPr>
            <sz val="10"/>
            <rFont val="WenQuanYi Zen Hei"/>
            <family val="2"/>
          </rPr>
          <t xml:space="preserve">は、この領域の次のレベルのスキルを育成目標にします。</t>
        </r>
      </text>
    </comment>
  </commentList>
</comments>
</file>

<file path=xl/sharedStrings.xml><?xml version="1.0" encoding="utf-8"?>
<sst xmlns="http://schemas.openxmlformats.org/spreadsheetml/2006/main" count="597" uniqueCount="366">
  <si>
    <r>
      <rPr>
        <b val="true"/>
        <sz val="14"/>
        <color rgb="FF000000"/>
        <rFont val="Meiryo UI"/>
        <family val="0"/>
        <charset val="1"/>
      </rPr>
      <t xml:space="preserve">FY27 </t>
    </r>
    <r>
      <rPr>
        <b val="true"/>
        <sz val="14"/>
        <color rgb="FF000000"/>
        <rFont val="WenQuanYi Zen Hei"/>
        <family val="2"/>
      </rPr>
      <t xml:space="preserve">目標設定シート（</t>
    </r>
    <r>
      <rPr>
        <b val="true"/>
        <sz val="14"/>
        <color rgb="FF000000"/>
        <rFont val="Meiryo UI"/>
        <family val="0"/>
        <charset val="1"/>
      </rPr>
      <t xml:space="preserve">Corporate Planning</t>
    </r>
    <r>
      <rPr>
        <b val="true"/>
        <sz val="14"/>
        <color rgb="FF000000"/>
        <rFont val="WenQuanYi Zen Hei"/>
        <family val="2"/>
      </rPr>
      <t xml:space="preserve">）記入方法　ドラフト </t>
    </r>
    <r>
      <rPr>
        <b val="true"/>
        <sz val="14"/>
        <color rgb="FF000000"/>
        <rFont val="Meiryo UI"/>
        <family val="0"/>
        <charset val="1"/>
      </rPr>
      <t xml:space="preserve">v0.1</t>
    </r>
  </si>
  <si>
    <t xml:space="preserve">このシートの目的</t>
  </si>
  <si>
    <r>
      <rPr>
        <sz val="11"/>
        <color rgb="FF000000"/>
        <rFont val="WenQuanYi Zen Hei"/>
        <family val="2"/>
      </rPr>
      <t xml:space="preserve">期初にコンピテンシー目標（</t>
    </r>
    <r>
      <rPr>
        <sz val="11"/>
        <color rgb="FF000000"/>
        <rFont val="Meiryo UI"/>
        <family val="0"/>
        <charset val="1"/>
      </rPr>
      <t xml:space="preserve">1</t>
    </r>
    <r>
      <rPr>
        <sz val="11"/>
        <color rgb="FF000000"/>
        <rFont val="WenQuanYi Zen Hei"/>
        <family val="2"/>
      </rPr>
      <t xml:space="preserve">年後・</t>
    </r>
    <r>
      <rPr>
        <sz val="11"/>
        <color rgb="FF000000"/>
        <rFont val="Meiryo UI"/>
        <family val="0"/>
        <charset val="1"/>
      </rPr>
      <t xml:space="preserve">3</t>
    </r>
    <r>
      <rPr>
        <sz val="11"/>
        <color rgb="FF000000"/>
        <rFont val="WenQuanYi Zen Hei"/>
        <family val="2"/>
      </rPr>
      <t xml:space="preserve">年後）と</t>
    </r>
    <r>
      <rPr>
        <sz val="11"/>
        <color rgb="FF000000"/>
        <rFont val="Meiryo UI"/>
        <family val="0"/>
        <charset val="1"/>
      </rPr>
      <t xml:space="preserve">KPI</t>
    </r>
    <r>
      <rPr>
        <sz val="11"/>
        <color rgb="FF000000"/>
        <rFont val="WenQuanYi Zen Hei"/>
        <family val="2"/>
      </rPr>
      <t xml:space="preserve">目標（</t>
    </r>
    <r>
      <rPr>
        <sz val="11"/>
        <color rgb="FF000000"/>
        <rFont val="Meiryo UI"/>
        <family val="0"/>
        <charset val="1"/>
      </rPr>
      <t xml:space="preserve">L4</t>
    </r>
    <r>
      <rPr>
        <sz val="11"/>
        <color rgb="FF000000"/>
        <rFont val="WenQuanYi Zen Hei"/>
        <family val="2"/>
      </rPr>
      <t xml:space="preserve">以上）を立て、カウンセラーと合意します。期末は同じシートで振り返ります。</t>
    </r>
  </si>
  <si>
    <t xml:space="preserve">シートの構成</t>
  </si>
  <si>
    <r>
      <rPr>
        <sz val="11"/>
        <color rgb="FF000000"/>
        <rFont val="WenQuanYi Zen Hei"/>
        <family val="2"/>
      </rPr>
      <t xml:space="preserve">記入方法／目標設定シート（記入用）／記入例</t>
    </r>
    <r>
      <rPr>
        <sz val="11"/>
        <color rgb="FF000000"/>
        <rFont val="Meiryo UI"/>
        <family val="0"/>
        <charset val="1"/>
      </rPr>
      <t xml:space="preserve">_L1</t>
    </r>
    <r>
      <rPr>
        <sz val="11"/>
        <color rgb="FF000000"/>
        <rFont val="WenQuanYi Zen Hei"/>
        <family val="2"/>
      </rPr>
      <t xml:space="preserve">／記入例</t>
    </r>
    <r>
      <rPr>
        <sz val="11"/>
        <color rgb="FF000000"/>
        <rFont val="Meiryo UI"/>
        <family val="0"/>
        <charset val="1"/>
      </rPr>
      <t xml:space="preserve">_L4</t>
    </r>
    <r>
      <rPr>
        <sz val="11"/>
        <color rgb="FF000000"/>
        <rFont val="WenQuanYi Zen Hei"/>
        <family val="2"/>
      </rPr>
      <t xml:space="preserve">／マスタ（参照用。編集しない）</t>
    </r>
  </si>
  <si>
    <t xml:space="preserve">タイトルの表記</t>
  </si>
  <si>
    <r>
      <rPr>
        <sz val="11"/>
        <color rgb="FF000000"/>
        <rFont val="WenQuanYi Zen Hei"/>
        <family val="2"/>
      </rPr>
      <t xml:space="preserve">本体</t>
    </r>
    <r>
      <rPr>
        <sz val="11"/>
        <color rgb="FF000000"/>
        <rFont val="Meiryo UI"/>
        <family val="0"/>
        <charset val="1"/>
      </rPr>
      <t xml:space="preserve">HR</t>
    </r>
    <r>
      <rPr>
        <sz val="11"/>
        <color rgb="FF000000"/>
        <rFont val="WenQuanYi Zen Hei"/>
        <family val="2"/>
      </rPr>
      <t xml:space="preserve">のタイトルと</t>
    </r>
    <r>
      <rPr>
        <sz val="11"/>
        <color rgb="FF000000"/>
        <rFont val="Meiryo UI"/>
        <family val="0"/>
        <charset val="1"/>
      </rPr>
      <t xml:space="preserve">INTS</t>
    </r>
    <r>
      <rPr>
        <sz val="11"/>
        <color rgb="FF000000"/>
        <rFont val="WenQuanYi Zen Hei"/>
        <family val="2"/>
      </rPr>
      <t xml:space="preserve">等級を併記します。書式は「機能名＋本体タイトル（</t>
    </r>
    <r>
      <rPr>
        <sz val="11"/>
        <color rgb="FF000000"/>
        <rFont val="Meiryo UI"/>
        <family val="0"/>
        <charset val="1"/>
      </rPr>
      <t xml:space="preserve">INTS</t>
    </r>
    <r>
      <rPr>
        <sz val="11"/>
        <color rgb="FF000000"/>
        <rFont val="WenQuanYi Zen Hei"/>
        <family val="2"/>
      </rPr>
      <t xml:space="preserve">：等級）」。例：</t>
    </r>
    <r>
      <rPr>
        <sz val="11"/>
        <color rgb="FF000000"/>
        <rFont val="Meiryo UI"/>
        <family val="0"/>
        <charset val="1"/>
      </rPr>
      <t xml:space="preserve">HR</t>
    </r>
    <r>
      <rPr>
        <sz val="11"/>
        <color rgb="FF000000"/>
        <rFont val="WenQuanYi Zen Hei"/>
        <family val="2"/>
      </rPr>
      <t xml:space="preserve">チーフ（</t>
    </r>
    <r>
      <rPr>
        <sz val="11"/>
        <color rgb="FF000000"/>
        <rFont val="Meiryo UI"/>
        <family val="0"/>
        <charset val="1"/>
      </rPr>
      <t xml:space="preserve">INTS</t>
    </r>
    <r>
      <rPr>
        <sz val="11"/>
        <color rgb="FF000000"/>
        <rFont val="WenQuanYi Zen Hei"/>
        <family val="2"/>
      </rPr>
      <t xml:space="preserve">：</t>
    </r>
    <r>
      <rPr>
        <sz val="11"/>
        <color rgb="FF000000"/>
        <rFont val="Meiryo UI"/>
        <family val="0"/>
        <charset val="1"/>
      </rPr>
      <t xml:space="preserve">Consultant</t>
    </r>
    <r>
      <rPr>
        <sz val="11"/>
        <color rgb="FF000000"/>
        <rFont val="WenQuanYi Zen Hei"/>
        <family val="2"/>
      </rPr>
      <t xml:space="preserve">）、</t>
    </r>
    <r>
      <rPr>
        <sz val="11"/>
        <color rgb="FF000000"/>
        <rFont val="Meiryo UI"/>
        <family val="0"/>
        <charset val="1"/>
      </rPr>
      <t xml:space="preserve">FIN</t>
    </r>
    <r>
      <rPr>
        <sz val="11"/>
        <color rgb="FF000000"/>
        <rFont val="WenQuanYi Zen Hei"/>
        <family val="2"/>
      </rPr>
      <t xml:space="preserve">マネジャー（</t>
    </r>
    <r>
      <rPr>
        <sz val="11"/>
        <color rgb="FF000000"/>
        <rFont val="Meiryo UI"/>
        <family val="0"/>
        <charset val="1"/>
      </rPr>
      <t xml:space="preserve">INTS</t>
    </r>
    <r>
      <rPr>
        <sz val="11"/>
        <color rgb="FF000000"/>
        <rFont val="WenQuanYi Zen Hei"/>
        <family val="2"/>
      </rPr>
      <t xml:space="preserve">：</t>
    </r>
    <r>
      <rPr>
        <sz val="11"/>
        <color rgb="FF000000"/>
        <rFont val="Meiryo UI"/>
        <family val="0"/>
        <charset val="1"/>
      </rPr>
      <t xml:space="preserve">Manager</t>
    </r>
    <r>
      <rPr>
        <sz val="11"/>
        <color rgb="FF000000"/>
        <rFont val="WenQuanYi Zen Hei"/>
        <family val="2"/>
      </rPr>
      <t xml:space="preserve">）。処遇・評価は</t>
    </r>
    <r>
      <rPr>
        <sz val="11"/>
        <color rgb="FF000000"/>
        <rFont val="Meiryo UI"/>
        <family val="0"/>
        <charset val="1"/>
      </rPr>
      <t xml:space="preserve">INTS</t>
    </r>
    <r>
      <rPr>
        <sz val="11"/>
        <color rgb="FF000000"/>
        <rFont val="WenQuanYi Zen Hei"/>
        <family val="2"/>
      </rPr>
      <t xml:space="preserve">等級で運用し、本体の職位・バンドは読み替えに使います。</t>
    </r>
  </si>
  <si>
    <t xml:space="preserve">入力するセル</t>
  </si>
  <si>
    <t xml:space="preserve">黄色のセルだけを記入します。灰色のセルは、レベルと主担当領域を選ぶと自動で表示されます。</t>
  </si>
  <si>
    <r>
      <rPr>
        <b val="true"/>
        <sz val="11"/>
        <color rgb="FF000000"/>
        <rFont val="WenQuanYi Zen Hei"/>
        <family val="2"/>
      </rPr>
      <t xml:space="preserve">手順</t>
    </r>
    <r>
      <rPr>
        <b val="true"/>
        <sz val="11"/>
        <color rgb="FF000000"/>
        <rFont val="Meiryo UI"/>
        <family val="0"/>
        <charset val="1"/>
      </rPr>
      <t xml:space="preserve">1</t>
    </r>
  </si>
  <si>
    <r>
      <rPr>
        <sz val="11"/>
        <color rgb="FF000000"/>
        <rFont val="WenQuanYi Zen Hei"/>
        <family val="2"/>
      </rPr>
      <t xml:space="preserve">前回の評価</t>
    </r>
    <r>
      <rPr>
        <sz val="11"/>
        <color rgb="FF000000"/>
        <rFont val="Meiryo UI"/>
        <family val="0"/>
        <charset val="1"/>
      </rPr>
      <t xml:space="preserve">FB</t>
    </r>
    <r>
      <rPr>
        <sz val="11"/>
        <color rgb="FF000000"/>
        <rFont val="WenQuanYi Zen Hei"/>
        <family val="2"/>
      </rPr>
      <t xml:space="preserve">シートの「期待」と、自分のレベルの期待水準（評価</t>
    </r>
    <r>
      <rPr>
        <sz val="11"/>
        <color rgb="FF000000"/>
        <rFont val="Meiryo UI"/>
        <family val="0"/>
        <charset val="1"/>
      </rPr>
      <t xml:space="preserve">3</t>
    </r>
    <r>
      <rPr>
        <sz val="11"/>
        <color rgb="FF000000"/>
        <rFont val="WenQuanYi Zen Hei"/>
        <family val="2"/>
      </rPr>
      <t xml:space="preserve">）を確認する</t>
    </r>
  </si>
  <si>
    <r>
      <rPr>
        <b val="true"/>
        <sz val="11"/>
        <color rgb="FF000000"/>
        <rFont val="WenQuanYi Zen Hei"/>
        <family val="2"/>
      </rPr>
      <t xml:space="preserve">手順</t>
    </r>
    <r>
      <rPr>
        <b val="true"/>
        <sz val="11"/>
        <color rgb="FF000000"/>
        <rFont val="Meiryo UI"/>
        <family val="0"/>
        <charset val="1"/>
      </rPr>
      <t xml:space="preserve">2</t>
    </r>
  </si>
  <si>
    <r>
      <rPr>
        <sz val="11"/>
        <color rgb="FF000000"/>
        <rFont val="WenQuanYi Zen Hei"/>
        <family val="2"/>
      </rPr>
      <t xml:space="preserve">①基本情報で、レベル（</t>
    </r>
    <r>
      <rPr>
        <sz val="11"/>
        <color rgb="FF000000"/>
        <rFont val="Meiryo UI"/>
        <family val="0"/>
        <charset val="1"/>
      </rPr>
      <t xml:space="preserve">L1</t>
    </r>
    <r>
      <rPr>
        <sz val="11"/>
        <color rgb="FF000000"/>
        <rFont val="WenQuanYi Zen Hei"/>
        <family val="2"/>
      </rPr>
      <t xml:space="preserve">〜</t>
    </r>
    <r>
      <rPr>
        <sz val="11"/>
        <color rgb="FF000000"/>
        <rFont val="Meiryo UI"/>
        <family val="0"/>
        <charset val="1"/>
      </rPr>
      <t xml:space="preserve">L6</t>
    </r>
    <r>
      <rPr>
        <sz val="11"/>
        <color rgb="FF000000"/>
        <rFont val="WenQuanYi Zen Hei"/>
        <family val="2"/>
      </rPr>
      <t xml:space="preserve">）と主担当領域（</t>
    </r>
    <r>
      <rPr>
        <sz val="11"/>
        <color rgb="FF000000"/>
        <rFont val="Meiryo UI"/>
        <family val="0"/>
        <charset val="1"/>
      </rPr>
      <t xml:space="preserve">6</t>
    </r>
    <r>
      <rPr>
        <sz val="11"/>
        <color rgb="FF000000"/>
        <rFont val="WenQuanYi Zen Hei"/>
        <family val="2"/>
      </rPr>
      <t xml:space="preserve">領域）をプルダウンで選ぶ</t>
    </r>
  </si>
  <si>
    <r>
      <rPr>
        <b val="true"/>
        <sz val="11"/>
        <color rgb="FF000000"/>
        <rFont val="WenQuanYi Zen Hei"/>
        <family val="2"/>
      </rPr>
      <t xml:space="preserve">手順</t>
    </r>
    <r>
      <rPr>
        <b val="true"/>
        <sz val="11"/>
        <color rgb="FF000000"/>
        <rFont val="Meiryo UI"/>
        <family val="0"/>
        <charset val="1"/>
      </rPr>
      <t xml:space="preserve">3</t>
    </r>
  </si>
  <si>
    <r>
      <rPr>
        <sz val="11"/>
        <color rgb="FF000000"/>
        <rFont val="WenQuanYi Zen Hei"/>
        <family val="2"/>
      </rPr>
      <t xml:space="preserve">②短期目標を書く。サマリーは必須。各観点は【目標】【行動計画】【成果イメージ】に分けて書き、ウェイトの大きい観点ほど具体的に書く。</t>
    </r>
    <r>
      <rPr>
        <sz val="11"/>
        <color rgb="FF000000"/>
        <rFont val="Meiryo UI"/>
        <family val="0"/>
        <charset val="1"/>
      </rPr>
      <t xml:space="preserve">L1</t>
    </r>
    <r>
      <rPr>
        <sz val="11"/>
        <color rgb="FF000000"/>
        <rFont val="WenQuanYi Zen Hei"/>
        <family val="2"/>
      </rPr>
      <t xml:space="preserve">〜</t>
    </r>
    <r>
      <rPr>
        <sz val="11"/>
        <color rgb="FF000000"/>
        <rFont val="Meiryo UI"/>
        <family val="0"/>
        <charset val="1"/>
      </rPr>
      <t xml:space="preserve">L3</t>
    </r>
    <r>
      <rPr>
        <sz val="11"/>
        <color rgb="FF000000"/>
        <rFont val="WenQuanYi Zen Hei"/>
        <family val="2"/>
      </rPr>
      <t xml:space="preserve">は「専門領域の育成目標」も書く</t>
    </r>
  </si>
  <si>
    <r>
      <rPr>
        <b val="true"/>
        <sz val="11"/>
        <color rgb="FF000000"/>
        <rFont val="WenQuanYi Zen Hei"/>
        <family val="2"/>
      </rPr>
      <t xml:space="preserve">手順</t>
    </r>
    <r>
      <rPr>
        <b val="true"/>
        <sz val="11"/>
        <color rgb="FF000000"/>
        <rFont val="Meiryo UI"/>
        <family val="0"/>
        <charset val="1"/>
      </rPr>
      <t xml:space="preserve">4</t>
    </r>
  </si>
  <si>
    <r>
      <rPr>
        <sz val="11"/>
        <color rgb="FF000000"/>
        <rFont val="WenQuanYi Zen Hei"/>
        <family val="2"/>
      </rPr>
      <t xml:space="preserve">③中長期目標を書く。目指すレベル（標準は</t>
    </r>
    <r>
      <rPr>
        <sz val="11"/>
        <color rgb="FF000000"/>
        <rFont val="Meiryo UI"/>
        <family val="0"/>
        <charset val="1"/>
      </rPr>
      <t xml:space="preserve">1</t>
    </r>
    <r>
      <rPr>
        <sz val="11"/>
        <color rgb="FF000000"/>
        <rFont val="WenQuanYi Zen Hei"/>
        <family val="2"/>
      </rPr>
      <t xml:space="preserve">つ上）を選び、</t>
    </r>
    <r>
      <rPr>
        <sz val="11"/>
        <color rgb="FF000000"/>
        <rFont val="Meiryo UI"/>
        <family val="0"/>
        <charset val="1"/>
      </rPr>
      <t xml:space="preserve">3</t>
    </r>
    <r>
      <rPr>
        <sz val="11"/>
        <color rgb="FF000000"/>
        <rFont val="WenQuanYi Zen Hei"/>
        <family val="2"/>
      </rPr>
      <t xml:space="preserve">年後の姿を書く</t>
    </r>
  </si>
  <si>
    <r>
      <rPr>
        <b val="true"/>
        <sz val="11"/>
        <color rgb="FF000000"/>
        <rFont val="WenQuanYi Zen Hei"/>
        <family val="2"/>
      </rPr>
      <t xml:space="preserve">手順</t>
    </r>
    <r>
      <rPr>
        <b val="true"/>
        <sz val="11"/>
        <color rgb="FF000000"/>
        <rFont val="Meiryo UI"/>
        <family val="0"/>
        <charset val="1"/>
      </rPr>
      <t xml:space="preserve">5</t>
    </r>
  </si>
  <si>
    <r>
      <rPr>
        <sz val="11"/>
        <color rgb="FF000000"/>
        <rFont val="Meiryo UI"/>
        <family val="0"/>
        <charset val="1"/>
      </rPr>
      <t xml:space="preserve">④KPI</t>
    </r>
    <r>
      <rPr>
        <sz val="11"/>
        <color rgb="FF000000"/>
        <rFont val="WenQuanYi Zen Hei"/>
        <family val="2"/>
      </rPr>
      <t xml:space="preserve">目標を書く（</t>
    </r>
    <r>
      <rPr>
        <sz val="11"/>
        <color rgb="FF000000"/>
        <rFont val="Meiryo UI"/>
        <family val="0"/>
        <charset val="1"/>
      </rPr>
      <t xml:space="preserve">L4</t>
    </r>
    <r>
      <rPr>
        <sz val="11"/>
        <color rgb="FF000000"/>
        <rFont val="WenQuanYi Zen Hei"/>
        <family val="2"/>
      </rPr>
      <t xml:space="preserve">以上）。最低ライン・目標・ストレッチの</t>
    </r>
    <r>
      <rPr>
        <sz val="11"/>
        <color rgb="FF000000"/>
        <rFont val="Meiryo UI"/>
        <family val="0"/>
        <charset val="1"/>
      </rPr>
      <t xml:space="preserve">3</t>
    </r>
    <r>
      <rPr>
        <sz val="11"/>
        <color rgb="FF000000"/>
        <rFont val="WenQuanYi Zen Hei"/>
        <family val="2"/>
      </rPr>
      <t xml:space="preserve">段階で書き、ウェイトの合計を</t>
    </r>
    <r>
      <rPr>
        <sz val="11"/>
        <color rgb="FF000000"/>
        <rFont val="Meiryo UI"/>
        <family val="0"/>
        <charset val="1"/>
      </rPr>
      <t xml:space="preserve">100%</t>
    </r>
    <r>
      <rPr>
        <sz val="11"/>
        <color rgb="FF000000"/>
        <rFont val="WenQuanYi Zen Hei"/>
        <family val="2"/>
      </rPr>
      <t xml:space="preserve">にする</t>
    </r>
  </si>
  <si>
    <r>
      <rPr>
        <b val="true"/>
        <sz val="11"/>
        <color rgb="FF000000"/>
        <rFont val="WenQuanYi Zen Hei"/>
        <family val="2"/>
      </rPr>
      <t xml:space="preserve">手順</t>
    </r>
    <r>
      <rPr>
        <b val="true"/>
        <sz val="11"/>
        <color rgb="FF000000"/>
        <rFont val="Meiryo UI"/>
        <family val="0"/>
        <charset val="1"/>
      </rPr>
      <t xml:space="preserve">6</t>
    </r>
  </si>
  <si>
    <r>
      <rPr>
        <sz val="11"/>
        <color rgb="FF000000"/>
        <rFont val="WenQuanYi Zen Hei"/>
        <family val="2"/>
      </rPr>
      <t xml:space="preserve">カウンセラーと面談（</t>
    </r>
    <r>
      <rPr>
        <sz val="11"/>
        <color rgb="FF000000"/>
        <rFont val="Meiryo UI"/>
        <family val="0"/>
        <charset val="1"/>
      </rPr>
      <t xml:space="preserve">30</t>
    </r>
    <r>
      <rPr>
        <sz val="11"/>
        <color rgb="FF000000"/>
        <rFont val="WenQuanYi Zen Hei"/>
        <family val="2"/>
      </rPr>
      <t xml:space="preserve">〜</t>
    </r>
    <r>
      <rPr>
        <sz val="11"/>
        <color rgb="FF000000"/>
        <rFont val="Meiryo UI"/>
        <family val="0"/>
        <charset val="1"/>
      </rPr>
      <t xml:space="preserve">45</t>
    </r>
    <r>
      <rPr>
        <sz val="11"/>
        <color rgb="FF000000"/>
        <rFont val="WenQuanYi Zen Hei"/>
        <family val="2"/>
      </rPr>
      <t xml:space="preserve">分）し、⑥合意欄の記入後に提出する。⑤期末の振り返りは空欄のまま提出する</t>
    </r>
  </si>
  <si>
    <r>
      <rPr>
        <b val="true"/>
        <sz val="11"/>
        <color rgb="FF000000"/>
        <rFont val="WenQuanYi Zen Hei"/>
        <family val="2"/>
      </rPr>
      <t xml:space="preserve">評価の付け方（</t>
    </r>
    <r>
      <rPr>
        <b val="true"/>
        <sz val="11"/>
        <color rgb="FF000000"/>
        <rFont val="Meiryo UI"/>
        <family val="0"/>
        <charset val="1"/>
      </rPr>
      <t xml:space="preserve">5</t>
    </r>
    <r>
      <rPr>
        <b val="true"/>
        <sz val="11"/>
        <color rgb="FF000000"/>
        <rFont val="WenQuanYi Zen Hei"/>
        <family val="2"/>
      </rPr>
      <t xml:space="preserve">・</t>
    </r>
    <r>
      <rPr>
        <b val="true"/>
        <sz val="11"/>
        <color rgb="FF000000"/>
        <rFont val="Meiryo UI"/>
        <family val="0"/>
        <charset val="1"/>
      </rPr>
      <t xml:space="preserve">3</t>
    </r>
    <r>
      <rPr>
        <b val="true"/>
        <sz val="11"/>
        <color rgb="FF000000"/>
        <rFont val="WenQuanYi Zen Hei"/>
        <family val="2"/>
      </rPr>
      <t xml:space="preserve">・</t>
    </r>
    <r>
      <rPr>
        <b val="true"/>
        <sz val="11"/>
        <color rgb="FF000000"/>
        <rFont val="Meiryo UI"/>
        <family val="0"/>
        <charset val="1"/>
      </rPr>
      <t xml:space="preserve">1</t>
    </r>
    <r>
      <rPr>
        <b val="true"/>
        <sz val="11"/>
        <color rgb="FF000000"/>
        <rFont val="WenQuanYi Zen Hei"/>
        <family val="2"/>
      </rPr>
      <t xml:space="preserve">）</t>
    </r>
  </si>
  <si>
    <r>
      <rPr>
        <sz val="11"/>
        <color rgb="FF000000"/>
        <rFont val="Meiryo UI"/>
        <family val="0"/>
        <charset val="1"/>
      </rPr>
      <t xml:space="preserve">3</t>
    </r>
    <r>
      <rPr>
        <sz val="11"/>
        <color rgb="FF000000"/>
        <rFont val="WenQuanYi Zen Hei"/>
        <family val="2"/>
      </rPr>
      <t xml:space="preserve">＝自分のレベルの期待水準を満たす／</t>
    </r>
    <r>
      <rPr>
        <sz val="11"/>
        <color rgb="FF000000"/>
        <rFont val="Meiryo UI"/>
        <family val="0"/>
        <charset val="1"/>
      </rPr>
      <t xml:space="preserve">5</t>
    </r>
    <r>
      <rPr>
        <sz val="11"/>
        <color rgb="FF000000"/>
        <rFont val="WenQuanYi Zen Hei"/>
        <family val="2"/>
      </rPr>
      <t xml:space="preserve">＝</t>
    </r>
    <r>
      <rPr>
        <sz val="11"/>
        <color rgb="FF000000"/>
        <rFont val="Meiryo UI"/>
        <family val="0"/>
        <charset val="1"/>
      </rPr>
      <t xml:space="preserve">1</t>
    </r>
    <r>
      <rPr>
        <sz val="11"/>
        <color rgb="FF000000"/>
        <rFont val="WenQuanYi Zen Hei"/>
        <family val="2"/>
      </rPr>
      <t xml:space="preserve">つ上のレベルの水準を安定して発揮／</t>
    </r>
    <r>
      <rPr>
        <sz val="11"/>
        <color rgb="FF000000"/>
        <rFont val="Meiryo UI"/>
        <family val="0"/>
        <charset val="1"/>
      </rPr>
      <t xml:space="preserve">1</t>
    </r>
    <r>
      <rPr>
        <sz val="11"/>
        <color rgb="FF000000"/>
        <rFont val="WenQuanYi Zen Hei"/>
        <family val="2"/>
      </rPr>
      <t xml:space="preserve">＝</t>
    </r>
    <r>
      <rPr>
        <sz val="11"/>
        <color rgb="FF000000"/>
        <rFont val="Meiryo UI"/>
        <family val="0"/>
        <charset val="1"/>
      </rPr>
      <t xml:space="preserve">1</t>
    </r>
    <r>
      <rPr>
        <sz val="11"/>
        <color rgb="FF000000"/>
        <rFont val="WenQuanYi Zen Hei"/>
        <family val="2"/>
      </rPr>
      <t xml:space="preserve">つ下のレベルの水準にとどまる（</t>
    </r>
    <r>
      <rPr>
        <sz val="11"/>
        <color rgb="FF000000"/>
        <rFont val="Meiryo UI"/>
        <family val="0"/>
        <charset val="1"/>
      </rPr>
      <t xml:space="preserve">2</t>
    </r>
    <r>
      <rPr>
        <sz val="11"/>
        <color rgb="FF000000"/>
        <rFont val="WenQuanYi Zen Hei"/>
        <family val="2"/>
      </rPr>
      <t xml:space="preserve">・</t>
    </r>
    <r>
      <rPr>
        <sz val="11"/>
        <color rgb="FF000000"/>
        <rFont val="Meiryo UI"/>
        <family val="0"/>
        <charset val="1"/>
      </rPr>
      <t xml:space="preserve">4</t>
    </r>
    <r>
      <rPr>
        <sz val="11"/>
        <color rgb="FF000000"/>
        <rFont val="WenQuanYi Zen Hei"/>
        <family val="2"/>
      </rPr>
      <t xml:space="preserve">は中間）。各観点の評価</t>
    </r>
    <r>
      <rPr>
        <sz val="11"/>
        <color rgb="FF000000"/>
        <rFont val="Meiryo UI"/>
        <family val="0"/>
        <charset val="1"/>
      </rPr>
      <t xml:space="preserve">×</t>
    </r>
    <r>
      <rPr>
        <sz val="11"/>
        <color rgb="FF000000"/>
        <rFont val="WenQuanYi Zen Hei"/>
        <family val="2"/>
      </rPr>
      <t xml:space="preserve">ウェイトの合計で算出します。</t>
    </r>
  </si>
  <si>
    <t xml:space="preserve">専門性の扱い</t>
  </si>
  <si>
    <r>
      <rPr>
        <sz val="11"/>
        <color rgb="FF000000"/>
        <rFont val="WenQuanYi Zen Hei"/>
        <family val="2"/>
      </rPr>
      <t xml:space="preserve">評価ウェイトは</t>
    </r>
    <r>
      <rPr>
        <sz val="11"/>
        <color rgb="FF000000"/>
        <rFont val="Meiryo UI"/>
        <family val="0"/>
        <charset val="1"/>
      </rPr>
      <t xml:space="preserve">L4</t>
    </r>
    <r>
      <rPr>
        <sz val="11"/>
        <color rgb="FF000000"/>
        <rFont val="WenQuanYi Zen Hei"/>
        <family val="2"/>
      </rPr>
      <t xml:space="preserve">以上だけに置きます。</t>
    </r>
    <r>
      <rPr>
        <sz val="11"/>
        <color rgb="FF000000"/>
        <rFont val="Meiryo UI"/>
        <family val="0"/>
        <charset val="1"/>
      </rPr>
      <t xml:space="preserve">L1</t>
    </r>
    <r>
      <rPr>
        <sz val="11"/>
        <color rgb="FF000000"/>
        <rFont val="WenQuanYi Zen Hei"/>
        <family val="2"/>
      </rPr>
      <t xml:space="preserve">〜</t>
    </r>
    <r>
      <rPr>
        <sz val="11"/>
        <color rgb="FF000000"/>
        <rFont val="Meiryo UI"/>
        <family val="0"/>
        <charset val="1"/>
      </rPr>
      <t xml:space="preserve">L3</t>
    </r>
    <r>
      <rPr>
        <sz val="11"/>
        <color rgb="FF000000"/>
        <rFont val="WenQuanYi Zen Hei"/>
        <family val="2"/>
      </rPr>
      <t xml:space="preserve">は、主担当領域の「専門領域スキル」を育成目標として管理します。</t>
    </r>
  </si>
  <si>
    <t xml:space="preserve">位置づけ</t>
  </si>
  <si>
    <r>
      <rPr>
        <sz val="11"/>
        <color rgb="FF000000"/>
        <rFont val="WenQuanYi Zen Hei"/>
        <family val="2"/>
      </rPr>
      <t xml:space="preserve">本シートはドラフトです。レベル体系・ウェイト・タイトル名称は、福島</t>
    </r>
    <r>
      <rPr>
        <sz val="11"/>
        <color rgb="FF000000"/>
        <rFont val="Meiryo UI"/>
        <family val="0"/>
        <charset val="1"/>
      </rPr>
      <t xml:space="preserve">Dir</t>
    </r>
    <r>
      <rPr>
        <sz val="11"/>
        <color rgb="FF000000"/>
        <rFont val="WenQuanYi Zen Hei"/>
        <family val="2"/>
      </rPr>
      <t xml:space="preserve">との合意と本体</t>
    </r>
    <r>
      <rPr>
        <sz val="11"/>
        <color rgb="FF000000"/>
        <rFont val="Meiryo UI"/>
        <family val="0"/>
        <charset val="1"/>
      </rPr>
      <t xml:space="preserve">HR</t>
    </r>
    <r>
      <rPr>
        <sz val="11"/>
        <color rgb="FF000000"/>
        <rFont val="WenQuanYi Zen Hei"/>
        <family val="2"/>
      </rPr>
      <t xml:space="preserve">との読み替え確認の後に確定します（</t>
    </r>
    <r>
      <rPr>
        <sz val="11"/>
        <color rgb="FF000000"/>
        <rFont val="Meiryo UI"/>
        <family val="0"/>
        <charset val="1"/>
      </rPr>
      <t xml:space="preserve">FY27</t>
    </r>
    <r>
      <rPr>
        <sz val="11"/>
        <color rgb="FF000000"/>
        <rFont val="WenQuanYi Zen Hei"/>
        <family val="2"/>
      </rPr>
      <t xml:space="preserve">期中の</t>
    </r>
    <r>
      <rPr>
        <sz val="11"/>
        <color rgb="FF000000"/>
        <rFont val="Meiryo UI"/>
        <family val="0"/>
        <charset val="1"/>
      </rPr>
      <t xml:space="preserve">1on1</t>
    </r>
    <r>
      <rPr>
        <sz val="11"/>
        <color rgb="FF000000"/>
        <rFont val="WenQuanYi Zen Hei"/>
        <family val="2"/>
      </rPr>
      <t xml:space="preserve">で試行し、</t>
    </r>
    <r>
      <rPr>
        <sz val="11"/>
        <color rgb="FF000000"/>
        <rFont val="Meiryo UI"/>
        <family val="0"/>
        <charset val="1"/>
      </rPr>
      <t xml:space="preserve">FY28</t>
    </r>
    <r>
      <rPr>
        <sz val="11"/>
        <color rgb="FF000000"/>
        <rFont val="WenQuanYi Zen Hei"/>
        <family val="2"/>
      </rPr>
      <t xml:space="preserve">評価準備で正式化する案）。</t>
    </r>
  </si>
  <si>
    <t xml:space="preserve">凡例</t>
  </si>
  <si>
    <t xml:space="preserve">記入欄</t>
  </si>
  <si>
    <t xml:space="preserve">本人（合意欄はカウンセラー）が記入する</t>
  </si>
  <si>
    <t xml:space="preserve">自動表示</t>
  </si>
  <si>
    <t xml:space="preserve">マスタから自動で表示される。上書きしない</t>
  </si>
  <si>
    <t xml:space="preserve">参照資料</t>
  </si>
  <si>
    <r>
      <rPr>
        <sz val="10"/>
        <color rgb="FF000000"/>
        <rFont val="Meiryo UI"/>
        <family val="0"/>
        <charset val="1"/>
      </rPr>
      <t xml:space="preserve">CorpPlanning_</t>
    </r>
    <r>
      <rPr>
        <sz val="10"/>
        <color rgb="FF000000"/>
        <rFont val="WenQuanYi Zen Hei"/>
        <family val="2"/>
      </rPr>
      <t xml:space="preserve">タイトル別コンピテンシー定義</t>
    </r>
    <r>
      <rPr>
        <sz val="10"/>
        <color rgb="FF000000"/>
        <rFont val="Meiryo UI"/>
        <family val="0"/>
        <charset val="1"/>
      </rPr>
      <t xml:space="preserve">_</t>
    </r>
    <r>
      <rPr>
        <sz val="10"/>
        <color rgb="FF000000"/>
        <rFont val="WenQuanYi Zen Hei"/>
        <family val="2"/>
      </rPr>
      <t xml:space="preserve">ドラフト</t>
    </r>
    <r>
      <rPr>
        <sz val="10"/>
        <color rgb="FF000000"/>
        <rFont val="Meiryo UI"/>
        <family val="0"/>
        <charset val="1"/>
      </rPr>
      <t xml:space="preserve">_v02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Meiryo UI"/>
        <family val="0"/>
        <charset val="1"/>
      </rPr>
      <t xml:space="preserve">INTS_HR</t>
    </r>
    <r>
      <rPr>
        <sz val="10"/>
        <color rgb="FF000000"/>
        <rFont val="WenQuanYi Zen Hei"/>
        <family val="2"/>
      </rPr>
      <t xml:space="preserve">キャリアパス設計</t>
    </r>
    <r>
      <rPr>
        <sz val="10"/>
        <color rgb="FF000000"/>
        <rFont val="Meiryo UI"/>
        <family val="0"/>
        <charset val="1"/>
      </rPr>
      <t xml:space="preserve">_v031</t>
    </r>
    <r>
      <rPr>
        <sz val="10"/>
        <color rgb="FF000000"/>
        <rFont val="WenQuanYi Zen Hei"/>
        <family val="2"/>
      </rPr>
      <t xml:space="preserve">、コンピテンシー定義書 </t>
    </r>
    <r>
      <rPr>
        <sz val="10"/>
        <color rgb="FF000000"/>
        <rFont val="Meiryo UI"/>
        <family val="0"/>
        <charset val="1"/>
      </rPr>
      <t xml:space="preserve">Corporate Planning Ver.0.14.3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Meiryo UI"/>
        <family val="0"/>
        <charset val="1"/>
      </rPr>
      <t xml:space="preserve">FY27 </t>
    </r>
    <r>
      <rPr>
        <sz val="10"/>
        <color rgb="FF000000"/>
        <rFont val="WenQuanYi Zen Hei"/>
        <family val="2"/>
      </rPr>
      <t xml:space="preserve">目標設定ガイド </t>
    </r>
    <r>
      <rPr>
        <sz val="10"/>
        <color rgb="FF000000"/>
        <rFont val="Meiryo UI"/>
        <family val="0"/>
        <charset val="1"/>
      </rPr>
      <t xml:space="preserve">V1.3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Meiryo UI"/>
        <family val="0"/>
        <charset val="1"/>
      </rPr>
      <t xml:space="preserve">Consulting</t>
    </r>
    <r>
      <rPr>
        <sz val="10"/>
        <color rgb="FF000000"/>
        <rFont val="WenQuanYi Zen Hei"/>
        <family val="2"/>
      </rPr>
      <t xml:space="preserve">）、成長目標シート </t>
    </r>
    <r>
      <rPr>
        <sz val="10"/>
        <color rgb="FF000000"/>
        <rFont val="Meiryo UI"/>
        <family val="0"/>
        <charset val="1"/>
      </rPr>
      <t xml:space="preserve">V1.8</t>
    </r>
  </si>
  <si>
    <r>
      <rPr>
        <b val="true"/>
        <sz val="14"/>
        <color rgb="FF000000"/>
        <rFont val="Meiryo UI"/>
        <family val="0"/>
        <charset val="1"/>
      </rPr>
      <t xml:space="preserve">FY27 </t>
    </r>
    <r>
      <rPr>
        <b val="true"/>
        <sz val="14"/>
        <color rgb="FF000000"/>
        <rFont val="WenQuanYi Zen Hei"/>
        <family val="2"/>
      </rPr>
      <t xml:space="preserve">目標設定シート（</t>
    </r>
    <r>
      <rPr>
        <b val="true"/>
        <sz val="14"/>
        <color rgb="FF000000"/>
        <rFont val="Meiryo UI"/>
        <family val="0"/>
        <charset val="1"/>
      </rPr>
      <t xml:space="preserve">Corporate Planning</t>
    </r>
    <r>
      <rPr>
        <b val="true"/>
        <sz val="14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</si>
  <si>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黄色＝本人が記入　｜　灰色＝レベル・主担当領域を選ぶと自動表示　｜　表記は「本体タイトル（</t>
    </r>
    <r>
      <rPr>
        <sz val="9"/>
        <color rgb="FF595959"/>
        <rFont val="Meiryo UI"/>
        <family val="0"/>
        <charset val="1"/>
      </rPr>
      <t xml:space="preserve">INTS</t>
    </r>
    <r>
      <rPr>
        <sz val="9"/>
        <color rgb="FF595959"/>
        <rFont val="WenQuanYi Zen Hei"/>
        <family val="2"/>
      </rPr>
      <t xml:space="preserve">：等級）」の併記</t>
    </r>
  </si>
  <si>
    <t xml:space="preserve">① 基本情報</t>
  </si>
  <si>
    <t xml:space="preserve">氏名</t>
  </si>
  <si>
    <t xml:space="preserve">レベル</t>
  </si>
  <si>
    <t xml:space="preserve">タイトル（併記）</t>
  </si>
  <si>
    <t xml:space="preserve">本体の職位・バンド</t>
  </si>
  <si>
    <t xml:space="preserve">主担当領域</t>
  </si>
  <si>
    <t xml:space="preserve">マネジメントスパン</t>
  </si>
  <si>
    <t xml:space="preserve">カウンセラー氏名</t>
  </si>
  <si>
    <t xml:space="preserve">カウンセラーのレベル</t>
  </si>
  <si>
    <t xml:space="preserve">カウンセラーのタイトル</t>
  </si>
  <si>
    <t xml:space="preserve">作成日</t>
  </si>
  <si>
    <t xml:space="preserve">作成タイミング</t>
  </si>
  <si>
    <t xml:space="preserve">期初</t>
  </si>
  <si>
    <r>
      <rPr>
        <b val="true"/>
        <sz val="12"/>
        <color rgb="FFFFFFFF"/>
        <rFont val="WenQuanYi Zen Hei"/>
        <family val="2"/>
      </rPr>
      <t xml:space="preserve">② コンピテンシー短期目標（</t>
    </r>
    <r>
      <rPr>
        <b val="true"/>
        <sz val="12"/>
        <color rgb="FFFFFFFF"/>
        <rFont val="Meiryo UI"/>
        <family val="0"/>
        <charset val="1"/>
      </rPr>
      <t xml:space="preserve">1</t>
    </r>
    <r>
      <rPr>
        <b val="true"/>
        <sz val="12"/>
        <color rgb="FFFFFFFF"/>
        <rFont val="WenQuanYi Zen Hei"/>
        <family val="2"/>
      </rPr>
      <t xml:space="preserve">年後の目安）　※サマリーは必須。各項目は該当する場合に記入し、ウェイトの大きい項目は具体的に書く</t>
    </r>
  </si>
  <si>
    <t xml:space="preserve">サマリー（必須）</t>
  </si>
  <si>
    <t xml:space="preserve">提供価値</t>
  </si>
  <si>
    <t xml:space="preserve">評価観点</t>
  </si>
  <si>
    <t xml:space="preserve">ウェイト</t>
  </si>
  <si>
    <r>
      <rPr>
        <b val="true"/>
        <sz val="11"/>
        <color rgb="FF000000"/>
        <rFont val="WenQuanYi Zen Hei"/>
        <family val="2"/>
      </rPr>
      <t xml:space="preserve">期待水準（評価</t>
    </r>
    <r>
      <rPr>
        <b val="true"/>
        <sz val="11"/>
        <color rgb="FF000000"/>
        <rFont val="Meiryo UI"/>
        <family val="0"/>
        <charset val="1"/>
      </rPr>
      <t xml:space="preserve">3</t>
    </r>
    <r>
      <rPr>
        <b val="true"/>
        <sz val="11"/>
        <color rgb="FF000000"/>
        <rFont val="WenQuanYi Zen Hei"/>
        <family val="2"/>
      </rPr>
      <t xml:space="preserve">）</t>
    </r>
  </si>
  <si>
    <t xml:space="preserve">【目標】</t>
  </si>
  <si>
    <t xml:space="preserve">【行動計画】</t>
  </si>
  <si>
    <t xml:space="preserve">【成果イメージ】</t>
  </si>
  <si>
    <t xml:space="preserve">クライアントバリュー</t>
  </si>
  <si>
    <t xml:space="preserve">問題解決能力</t>
  </si>
  <si>
    <t xml:space="preserve">タスク管理・マネジメント力</t>
  </si>
  <si>
    <t xml:space="preserve">口頭コミュニケーション</t>
  </si>
  <si>
    <t xml:space="preserve">文書コミュニケーション</t>
  </si>
  <si>
    <t xml:space="preserve">専門性</t>
  </si>
  <si>
    <t xml:space="preserve">ピープルバリュー</t>
  </si>
  <si>
    <t xml:space="preserve">機能人材の確保・育成貢献</t>
  </si>
  <si>
    <t xml:space="preserve">関係構築・連携</t>
  </si>
  <si>
    <t xml:space="preserve">ファームバリュー</t>
  </si>
  <si>
    <t xml:space="preserve">ファームビルディング</t>
  </si>
  <si>
    <t xml:space="preserve">経営価値創出力</t>
  </si>
  <si>
    <t xml:space="preserve">合計</t>
  </si>
  <si>
    <r>
      <rPr>
        <b val="true"/>
        <sz val="11"/>
        <color rgb="FF000000"/>
        <rFont val="WenQuanYi Zen Hei"/>
        <family val="2"/>
      </rPr>
      <t xml:space="preserve">専門領域の育成目標
（</t>
    </r>
    <r>
      <rPr>
        <b val="true"/>
        <sz val="11"/>
        <color rgb="FF000000"/>
        <rFont val="Meiryo UI"/>
        <family val="0"/>
        <charset val="1"/>
      </rPr>
      <t xml:space="preserve">L1</t>
    </r>
    <r>
      <rPr>
        <b val="true"/>
        <sz val="11"/>
        <color rgb="FF000000"/>
        <rFont val="WenQuanYi Zen Hei"/>
        <family val="2"/>
      </rPr>
      <t xml:space="preserve">〜</t>
    </r>
    <r>
      <rPr>
        <b val="true"/>
        <sz val="11"/>
        <color rgb="FF000000"/>
        <rFont val="Meiryo UI"/>
        <family val="0"/>
        <charset val="1"/>
      </rPr>
      <t xml:space="preserve">L3</t>
    </r>
    <r>
      <rPr>
        <b val="true"/>
        <sz val="11"/>
        <color rgb="FF000000"/>
        <rFont val="WenQuanYi Zen Hei"/>
        <family val="2"/>
      </rPr>
      <t xml:space="preserve">は必須）</t>
    </r>
  </si>
  <si>
    <t xml:space="preserve">その他（個人目標など）</t>
  </si>
  <si>
    <t xml:space="preserve">資格取得・業務知識など（任意）</t>
  </si>
  <si>
    <r>
      <rPr>
        <b val="true"/>
        <sz val="12"/>
        <color rgb="FFFFFFFF"/>
        <rFont val="WenQuanYi Zen Hei"/>
        <family val="2"/>
      </rPr>
      <t xml:space="preserve">③ コンピテンシー中長期目標（</t>
    </r>
    <r>
      <rPr>
        <b val="true"/>
        <sz val="12"/>
        <color rgb="FFFFFFFF"/>
        <rFont val="Meiryo UI"/>
        <family val="0"/>
        <charset val="1"/>
      </rPr>
      <t xml:space="preserve">3</t>
    </r>
    <r>
      <rPr>
        <b val="true"/>
        <sz val="12"/>
        <color rgb="FFFFFFFF"/>
        <rFont val="WenQuanYi Zen Hei"/>
        <family val="2"/>
      </rPr>
      <t xml:space="preserve">年後の目安）　※サマリーは必須。目指すレベルでの</t>
    </r>
    <r>
      <rPr>
        <b val="true"/>
        <sz val="12"/>
        <color rgb="FFFFFFFF"/>
        <rFont val="Meiryo UI"/>
        <family val="0"/>
        <charset val="1"/>
      </rPr>
      <t xml:space="preserve">3</t>
    </r>
    <r>
      <rPr>
        <b val="true"/>
        <sz val="12"/>
        <color rgb="FFFFFFFF"/>
        <rFont val="WenQuanYi Zen Hei"/>
        <family val="2"/>
      </rPr>
      <t xml:space="preserve">年後の姿を書く</t>
    </r>
  </si>
  <si>
    <t xml:space="preserve">目指すレベル</t>
  </si>
  <si>
    <t xml:space="preserve">目指すレベルの期待水準（参考）</t>
  </si>
  <si>
    <r>
      <rPr>
        <b val="true"/>
        <sz val="11"/>
        <color rgb="FF000000"/>
        <rFont val="Meiryo UI"/>
        <family val="0"/>
        <charset val="1"/>
      </rPr>
      <t xml:space="preserve">3</t>
    </r>
    <r>
      <rPr>
        <b val="true"/>
        <sz val="11"/>
        <color rgb="FF000000"/>
        <rFont val="WenQuanYi Zen Hei"/>
        <family val="2"/>
      </rPr>
      <t xml:space="preserve">年後の姿</t>
    </r>
  </si>
  <si>
    <t xml:space="preserve">その他（キャリアゴール）</t>
  </si>
  <si>
    <t xml:space="preserve">目指す専門領域やキャリアゴール（任意）</t>
  </si>
  <si>
    <r>
      <rPr>
        <b val="true"/>
        <sz val="12"/>
        <color rgb="FFFFFFFF"/>
        <rFont val="Meiryo UI"/>
        <family val="0"/>
        <charset val="1"/>
      </rPr>
      <t xml:space="preserve">④ KPI</t>
    </r>
    <r>
      <rPr>
        <b val="true"/>
        <sz val="12"/>
        <color rgb="FFFFFFFF"/>
        <rFont val="WenQuanYi Zen Hei"/>
        <family val="2"/>
      </rPr>
      <t xml:space="preserve">目標（</t>
    </r>
    <r>
      <rPr>
        <b val="true"/>
        <sz val="12"/>
        <color rgb="FFFFFFFF"/>
        <rFont val="Meiryo UI"/>
        <family val="0"/>
        <charset val="1"/>
      </rPr>
      <t xml:space="preserve">L4</t>
    </r>
    <r>
      <rPr>
        <b val="true"/>
        <sz val="12"/>
        <color rgb="FFFFFFFF"/>
        <rFont val="WenQuanYi Zen Hei"/>
        <family val="2"/>
      </rPr>
      <t xml:space="preserve">以上）　※最低ライン・目標・ストレッチの</t>
    </r>
    <r>
      <rPr>
        <b val="true"/>
        <sz val="12"/>
        <color rgb="FFFFFFFF"/>
        <rFont val="Meiryo UI"/>
        <family val="0"/>
        <charset val="1"/>
      </rPr>
      <t xml:space="preserve">3</t>
    </r>
    <r>
      <rPr>
        <b val="true"/>
        <sz val="12"/>
        <color rgb="FFFFFFFF"/>
        <rFont val="WenQuanYi Zen Hei"/>
        <family val="2"/>
      </rPr>
      <t xml:space="preserve">段階で書き、ウェイトの合計を</t>
    </r>
    <r>
      <rPr>
        <b val="true"/>
        <sz val="12"/>
        <color rgb="FFFFFFFF"/>
        <rFont val="Meiryo UI"/>
        <family val="0"/>
        <charset val="1"/>
      </rPr>
      <t xml:space="preserve">100%</t>
    </r>
    <r>
      <rPr>
        <b val="true"/>
        <sz val="12"/>
        <color rgb="FFFFFFFF"/>
        <rFont val="WenQuanYi Zen Hei"/>
        <family val="2"/>
      </rPr>
      <t xml:space="preserve">にする</t>
    </r>
  </si>
  <si>
    <r>
      <rPr>
        <b val="true"/>
        <sz val="11"/>
        <color rgb="FF000000"/>
        <rFont val="WenQuanYi Zen Hei"/>
        <family val="2"/>
      </rPr>
      <t xml:space="preserve">このレベルの</t>
    </r>
    <r>
      <rPr>
        <b val="true"/>
        <sz val="11"/>
        <color rgb="FF000000"/>
        <rFont val="Meiryo UI"/>
        <family val="0"/>
        <charset val="1"/>
      </rPr>
      <t xml:space="preserve">KPI</t>
    </r>
  </si>
  <si>
    <t xml:space="preserve">区分</t>
  </si>
  <si>
    <t xml:space="preserve">KPI</t>
  </si>
  <si>
    <t xml:space="preserve">測定方法</t>
  </si>
  <si>
    <t xml:space="preserve">最低ライン</t>
  </si>
  <si>
    <r>
      <rPr>
        <b val="true"/>
        <sz val="11"/>
        <color rgb="FF000000"/>
        <rFont val="WenQuanYi Zen Hei"/>
        <family val="2"/>
      </rPr>
      <t xml:space="preserve">目標（</t>
    </r>
    <r>
      <rPr>
        <b val="true"/>
        <sz val="11"/>
        <color rgb="FF000000"/>
        <rFont val="Meiryo UI"/>
        <family val="0"/>
        <charset val="1"/>
      </rPr>
      <t xml:space="preserve">100%</t>
    </r>
    <r>
      <rPr>
        <b val="true"/>
        <sz val="11"/>
        <color rgb="FF000000"/>
        <rFont val="WenQuanYi Zen Hei"/>
        <family val="2"/>
      </rPr>
      <t xml:space="preserve">）</t>
    </r>
  </si>
  <si>
    <t xml:space="preserve">ストレッチ</t>
  </si>
  <si>
    <t xml:space="preserve">⑤ 期末の振り返り（期末に記入。期初は空欄のまま提出）</t>
  </si>
  <si>
    <t xml:space="preserve">本人の振り返り</t>
  </si>
  <si>
    <t xml:space="preserve">カウンセラーのコメント</t>
  </si>
  <si>
    <t xml:space="preserve">⑥ 合意欄（カウンセラーが記入）</t>
  </si>
  <si>
    <t xml:space="preserve">カウンセラー記入欄</t>
  </si>
  <si>
    <t xml:space="preserve">合意日</t>
  </si>
  <si>
    <r>
      <rPr>
        <b val="true"/>
        <sz val="14"/>
        <color rgb="FF000000"/>
        <rFont val="Meiryo UI"/>
        <family val="0"/>
        <charset val="1"/>
      </rPr>
      <t xml:space="preserve">FY27 </t>
    </r>
    <r>
      <rPr>
        <b val="true"/>
        <sz val="14"/>
        <color rgb="FF000000"/>
        <rFont val="WenQuanYi Zen Hei"/>
        <family val="2"/>
      </rPr>
      <t xml:space="preserve">目標設定シート（</t>
    </r>
    <r>
      <rPr>
        <b val="true"/>
        <sz val="14"/>
        <color rgb="FF000000"/>
        <rFont val="Meiryo UI"/>
        <family val="0"/>
        <charset val="1"/>
      </rPr>
      <t xml:space="preserve">Corporate Planning</t>
    </r>
    <r>
      <rPr>
        <b val="true"/>
        <sz val="14"/>
        <color rgb="FF000000"/>
        <rFont val="WenQuanYi Zen Hei"/>
        <family val="2"/>
      </rPr>
      <t xml:space="preserve">）　記入例：</t>
    </r>
    <r>
      <rPr>
        <b val="true"/>
        <sz val="14"/>
        <color rgb="FF000000"/>
        <rFont val="Meiryo UI"/>
        <family val="0"/>
        <charset val="1"/>
      </rPr>
      <t xml:space="preserve">L1</t>
    </r>
  </si>
  <si>
    <t xml:space="preserve">院津 太郎（サンプル）</t>
  </si>
  <si>
    <t xml:space="preserve">L1</t>
  </si>
  <si>
    <t xml:space="preserve">人事・労務</t>
  </si>
  <si>
    <t xml:space="preserve">院都 花子（サンプル）</t>
  </si>
  <si>
    <t xml:space="preserve">L4</t>
  </si>
  <si>
    <r>
      <rPr>
        <sz val="11"/>
        <color rgb="FF000000"/>
        <rFont val="Meiryo UI"/>
        <family val="0"/>
        <charset val="1"/>
      </rPr>
      <t xml:space="preserve">L1 </t>
    </r>
    <r>
      <rPr>
        <sz val="11"/>
        <color rgb="FF000000"/>
        <rFont val="WenQuanYi Zen Hei"/>
        <family val="2"/>
      </rPr>
      <t xml:space="preserve">スタッフとして、人事・労務の定型業務（入退社・勤怠・社保の手続）を指示の範囲で期限内・ミスなく完了し、上長が安心して任せられるメンバーになる。重点観点の問題解決能力とタスク管理・マネジメント力で期待水準（評価</t>
    </r>
    <r>
      <rPr>
        <sz val="11"/>
        <color rgb="FF000000"/>
        <rFont val="Meiryo UI"/>
        <family val="0"/>
        <charset val="1"/>
      </rPr>
      <t xml:space="preserve">3</t>
    </r>
    <r>
      <rPr>
        <sz val="11"/>
        <color rgb="FF000000"/>
        <rFont val="WenQuanYi Zen Hei"/>
        <family val="2"/>
      </rPr>
      <t xml:space="preserve">）を満たす。</t>
    </r>
  </si>
  <si>
    <t xml:space="preserve">指示されたタスクの目的を正確に理解し、課題と発生要因を整理したうえで解決策を示す</t>
  </si>
  <si>
    <r>
      <rPr>
        <sz val="11"/>
        <color rgb="FF000000"/>
        <rFont val="WenQuanYi Zen Hei"/>
        <family val="2"/>
      </rPr>
      <t xml:space="preserve">着手前に「論点・仮説・進め方」を簡潔に書き、上長とすり合わせる。</t>
    </r>
    <r>
      <rPr>
        <sz val="11"/>
        <color rgb="FF000000"/>
        <rFont val="Meiryo UI"/>
        <family val="0"/>
        <charset val="1"/>
      </rPr>
      <t xml:space="preserve">Excel</t>
    </r>
    <r>
      <rPr>
        <sz val="11"/>
        <color rgb="FF000000"/>
        <rFont val="WenQuanYi Zen Hei"/>
        <family val="2"/>
      </rPr>
      <t xml:space="preserve">・</t>
    </r>
    <r>
      <rPr>
        <sz val="11"/>
        <color rgb="FF000000"/>
        <rFont val="Meiryo UI"/>
        <family val="0"/>
        <charset val="1"/>
      </rPr>
      <t xml:space="preserve">AI</t>
    </r>
    <r>
      <rPr>
        <sz val="11"/>
        <color rgb="FF000000"/>
        <rFont val="WenQuanYi Zen Hei"/>
        <family val="2"/>
      </rPr>
      <t xml:space="preserve">ツールを使って分析する</t>
    </r>
  </si>
  <si>
    <r>
      <rPr>
        <sz val="11"/>
        <color rgb="FF000000"/>
        <rFont val="WenQuanYi Zen Hei"/>
        <family val="2"/>
      </rPr>
      <t xml:space="preserve">すり合わせ後に大きな手戻りがない。期末の評価で問題解決能力</t>
    </r>
    <r>
      <rPr>
        <sz val="11"/>
        <color rgb="FF000000"/>
        <rFont val="Meiryo UI"/>
        <family val="0"/>
        <charset val="1"/>
      </rPr>
      <t xml:space="preserve">3</t>
    </r>
    <r>
      <rPr>
        <sz val="11"/>
        <color rgb="FF000000"/>
        <rFont val="WenQuanYi Zen Hei"/>
        <family val="2"/>
      </rPr>
      <t xml:space="preserve">以上</t>
    </r>
  </si>
  <si>
    <t xml:space="preserve">担当タスクを期限から逆算して計画し、期日を守って一定品質で完了する</t>
  </si>
  <si>
    <t xml:space="preserve">タスク管理表を週次で自ら更新し、上長に共有する。遅れそうなときは早めに相談する</t>
  </si>
  <si>
    <r>
      <rPr>
        <sz val="11"/>
        <color rgb="FF000000"/>
        <rFont val="WenQuanYi Zen Hei"/>
        <family val="2"/>
      </rPr>
      <t xml:space="preserve">担当タスクの期限遅れがない。期末の評価でタスク管理・マネジメント力</t>
    </r>
    <r>
      <rPr>
        <sz val="11"/>
        <color rgb="FF000000"/>
        <rFont val="Meiryo UI"/>
        <family val="0"/>
        <charset val="1"/>
      </rPr>
      <t xml:space="preserve">3</t>
    </r>
    <r>
      <rPr>
        <sz val="11"/>
        <color rgb="FF000000"/>
        <rFont val="WenQuanYi Zen Hei"/>
        <family val="2"/>
      </rPr>
      <t xml:space="preserve">以上</t>
    </r>
  </si>
  <si>
    <t xml:space="preserve">報・連・相を求められる前に自ら行い、質問に明確に答える</t>
  </si>
  <si>
    <t xml:space="preserve">報告は「結論→理由→次のアクション」の型で短く伝える</t>
  </si>
  <si>
    <t xml:space="preserve">上長から進捗を催促されることがない</t>
  </si>
  <si>
    <t xml:space="preserve">資料・案内文を、読み手が一目で理解できる形で正確に作る</t>
  </si>
  <si>
    <t xml:space="preserve">冒頭に要点を置き、見出し・箇条書きを使う。提出前に誤字脱字と体裁をセルフチェックする</t>
  </si>
  <si>
    <t xml:space="preserve">体裁・誤字脱字の修正指示がほとんど入らない</t>
  </si>
  <si>
    <t xml:space="preserve">期初に自らスキル開発目標を立て、フィードバックを改善に生かす</t>
  </si>
  <si>
    <r>
      <rPr>
        <sz val="11"/>
        <color rgb="FF000000"/>
        <rFont val="WenQuanYi Zen Hei"/>
        <family val="2"/>
      </rPr>
      <t xml:space="preserve">上長との</t>
    </r>
    <r>
      <rPr>
        <sz val="11"/>
        <color rgb="FF000000"/>
        <rFont val="Meiryo UI"/>
        <family val="0"/>
        <charset val="1"/>
      </rPr>
      <t xml:space="preserve">1on1</t>
    </r>
    <r>
      <rPr>
        <sz val="11"/>
        <color rgb="FF000000"/>
        <rFont val="WenQuanYi Zen Hei"/>
        <family val="2"/>
      </rPr>
      <t xml:space="preserve">を月一回、自分から設定する</t>
    </r>
  </si>
  <si>
    <r>
      <rPr>
        <sz val="11"/>
        <color rgb="FF000000"/>
        <rFont val="WenQuanYi Zen Hei"/>
        <family val="2"/>
      </rPr>
      <t xml:space="preserve">前回の</t>
    </r>
    <r>
      <rPr>
        <sz val="11"/>
        <color rgb="FF000000"/>
        <rFont val="Meiryo UI"/>
        <family val="0"/>
        <charset val="1"/>
      </rPr>
      <t xml:space="preserve">FB</t>
    </r>
    <r>
      <rPr>
        <sz val="11"/>
        <color rgb="FF000000"/>
        <rFont val="WenQuanYi Zen Hei"/>
        <family val="2"/>
      </rPr>
      <t xml:space="preserve">で指摘された点が、期末までに改善している</t>
    </r>
  </si>
  <si>
    <r>
      <rPr>
        <sz val="11"/>
        <color rgb="FF000000"/>
        <rFont val="WenQuanYi Zen Hei"/>
        <family val="2"/>
      </rPr>
      <t xml:space="preserve">本体</t>
    </r>
    <r>
      <rPr>
        <sz val="11"/>
        <color rgb="FF000000"/>
        <rFont val="Meiryo UI"/>
        <family val="0"/>
        <charset val="1"/>
      </rPr>
      <t xml:space="preserve">HR</t>
    </r>
    <r>
      <rPr>
        <sz val="11"/>
        <color rgb="FF000000"/>
        <rFont val="WenQuanYi Zen Hei"/>
        <family val="2"/>
      </rPr>
      <t xml:space="preserve">の担当者と、指示の範囲で協力して業務を進める</t>
    </r>
  </si>
  <si>
    <t xml:space="preserve">調整状況と懸念点を自ら上長・チームに共有する</t>
  </si>
  <si>
    <r>
      <rPr>
        <sz val="11"/>
        <color rgb="FF000000"/>
        <rFont val="WenQuanYi Zen Hei"/>
        <family val="2"/>
      </rPr>
      <t xml:space="preserve">本体</t>
    </r>
    <r>
      <rPr>
        <sz val="11"/>
        <color rgb="FF000000"/>
        <rFont val="Meiryo UI"/>
        <family val="0"/>
        <charset val="1"/>
      </rPr>
      <t xml:space="preserve">HR</t>
    </r>
    <r>
      <rPr>
        <sz val="11"/>
        <color rgb="FF000000"/>
        <rFont val="WenQuanYi Zen Hei"/>
        <family val="2"/>
      </rPr>
      <t xml:space="preserve">との手続の調整が、上長の介入なしで進む</t>
    </r>
  </si>
  <si>
    <t xml:space="preserve">人事関連の規程・ルールを理解し、運用する側として正しく実践する</t>
  </si>
  <si>
    <t xml:space="preserve">就業規則と関連規程を読み、担当手続の根拠を手順書に書き込む</t>
  </si>
  <si>
    <t xml:space="preserve">担当手続で規程違反や差し戻しがない</t>
  </si>
  <si>
    <t xml:space="preserve">指示された人事データ・経営情報の収集・入力を、精度・期限を守って完了する</t>
  </si>
  <si>
    <r>
      <rPr>
        <sz val="11"/>
        <color rgb="FF000000"/>
        <rFont val="WenQuanYi Zen Hei"/>
        <family val="2"/>
      </rPr>
      <t xml:space="preserve">提出前にチェックリストで検算し、期日の</t>
    </r>
    <r>
      <rPr>
        <sz val="11"/>
        <color rgb="FF000000"/>
        <rFont val="Meiryo UI"/>
        <family val="0"/>
        <charset val="1"/>
      </rPr>
      <t xml:space="preserve">2</t>
    </r>
    <r>
      <rPr>
        <sz val="11"/>
        <color rgb="FF000000"/>
        <rFont val="WenQuanYi Zen Hei"/>
        <family val="2"/>
      </rPr>
      <t xml:space="preserve">営業日前に提出する</t>
    </r>
  </si>
  <si>
    <t xml:space="preserve">上長の確認・修正なしで使える精度で提出できている</t>
  </si>
  <si>
    <r>
      <rPr>
        <sz val="11"/>
        <color rgb="FF000000"/>
        <rFont val="Meiryo UI"/>
        <family val="0"/>
        <charset val="1"/>
      </rPr>
      <t xml:space="preserve">L2 </t>
    </r>
    <r>
      <rPr>
        <sz val="11"/>
        <color rgb="FF000000"/>
        <rFont val="WenQuanYi Zen Hei"/>
        <family val="2"/>
      </rPr>
      <t xml:space="preserve">チーフの水準である「労務運用・評価の事務局」業務の一部を担えるようにする</t>
    </r>
  </si>
  <si>
    <t xml:space="preserve">評価シートの回収・集計を担当し、手順書を作る</t>
  </si>
  <si>
    <t xml:space="preserve">期末時点で、評価シートの回収・集計を一人で回せている</t>
  </si>
  <si>
    <t xml:space="preserve">人事・労務の基礎知識を身につける</t>
  </si>
  <si>
    <t xml:space="preserve">社内規程と労務の基礎研修を受講する</t>
  </si>
  <si>
    <t xml:space="preserve">受講した内容を担当業務の手順書に反映している</t>
  </si>
  <si>
    <t xml:space="preserve">L2</t>
  </si>
  <si>
    <r>
      <rPr>
        <sz val="11"/>
        <color rgb="FF000000"/>
        <rFont val="Meiryo UI"/>
        <family val="0"/>
        <charset val="1"/>
      </rPr>
      <t xml:space="preserve">3</t>
    </r>
    <r>
      <rPr>
        <sz val="11"/>
        <color rgb="FF000000"/>
        <rFont val="WenQuanYi Zen Hei"/>
        <family val="2"/>
      </rPr>
      <t xml:space="preserve">年後は</t>
    </r>
    <r>
      <rPr>
        <sz val="11"/>
        <color rgb="FF000000"/>
        <rFont val="Meiryo UI"/>
        <family val="0"/>
        <charset val="1"/>
      </rPr>
      <t xml:space="preserve">L2 </t>
    </r>
    <r>
      <rPr>
        <sz val="11"/>
        <color rgb="FF000000"/>
        <rFont val="WenQuanYi Zen Hei"/>
        <family val="2"/>
      </rPr>
      <t xml:space="preserve">チーフ（</t>
    </r>
    <r>
      <rPr>
        <sz val="11"/>
        <color rgb="FF000000"/>
        <rFont val="Meiryo UI"/>
        <family val="0"/>
        <charset val="1"/>
      </rPr>
      <t xml:space="preserve">INTS</t>
    </r>
    <r>
      <rPr>
        <sz val="11"/>
        <color rgb="FF000000"/>
        <rFont val="WenQuanYi Zen Hei"/>
        <family val="2"/>
      </rPr>
      <t xml:space="preserve">：</t>
    </r>
    <r>
      <rPr>
        <sz val="11"/>
        <color rgb="FF000000"/>
        <rFont val="Meiryo UI"/>
        <family val="0"/>
        <charset val="1"/>
      </rPr>
      <t xml:space="preserve">Consultant</t>
    </r>
    <r>
      <rPr>
        <sz val="11"/>
        <color rgb="FF000000"/>
        <rFont val="WenQuanYi Zen Hei"/>
        <family val="2"/>
      </rPr>
      <t xml:space="preserve">）として、人事・労務の業務一式を自立して運用し、本体</t>
    </r>
    <r>
      <rPr>
        <sz val="11"/>
        <color rgb="FF000000"/>
        <rFont val="Meiryo UI"/>
        <family val="0"/>
        <charset val="1"/>
      </rPr>
      <t xml:space="preserve">HR</t>
    </r>
    <r>
      <rPr>
        <sz val="11"/>
        <color rgb="FF000000"/>
        <rFont val="WenQuanYi Zen Hei"/>
        <family val="2"/>
      </rPr>
      <t xml:space="preserve">の担当者と自ら連携している。新メンバーの</t>
    </r>
    <r>
      <rPr>
        <sz val="11"/>
        <color rgb="FF000000"/>
        <rFont val="Meiryo UI"/>
        <family val="0"/>
        <charset val="1"/>
      </rPr>
      <t xml:space="preserve">OJT</t>
    </r>
    <r>
      <rPr>
        <sz val="11"/>
        <color rgb="FF000000"/>
        <rFont val="WenQuanYi Zen Hei"/>
        <family val="2"/>
      </rPr>
      <t xml:space="preserve">も補助している。</t>
    </r>
  </si>
  <si>
    <t xml:space="preserve">担当業務の課題に自ら仮説を立て、構造化して解決策を示している</t>
  </si>
  <si>
    <t xml:space="preserve">人事・労務の業務一式を逆算で計画し、進捗を自発的に共有している</t>
  </si>
  <si>
    <r>
      <rPr>
        <sz val="11"/>
        <color rgb="FF000000"/>
        <rFont val="WenQuanYi Zen Hei"/>
        <family val="2"/>
      </rPr>
      <t xml:space="preserve">本体</t>
    </r>
    <r>
      <rPr>
        <sz val="11"/>
        <color rgb="FF000000"/>
        <rFont val="Meiryo UI"/>
        <family val="0"/>
        <charset val="1"/>
      </rPr>
      <t xml:space="preserve">HR</t>
    </r>
    <r>
      <rPr>
        <sz val="11"/>
        <color rgb="FF000000"/>
        <rFont val="WenQuanYi Zen Hei"/>
        <family val="2"/>
      </rPr>
      <t xml:space="preserve">・社員への説明を結論から簡潔に行っている</t>
    </r>
  </si>
  <si>
    <t xml:space="preserve">手順書・案内文を要点が先に伝わる形で作っている</t>
  </si>
  <si>
    <r>
      <rPr>
        <sz val="11"/>
        <color rgb="FF000000"/>
        <rFont val="WenQuanYi Zen Hei"/>
        <family val="2"/>
      </rPr>
      <t xml:space="preserve">自ら成長目標を立てて学び、新メンバーの</t>
    </r>
    <r>
      <rPr>
        <sz val="11"/>
        <color rgb="FF000000"/>
        <rFont val="Meiryo UI"/>
        <family val="0"/>
        <charset val="1"/>
      </rPr>
      <t xml:space="preserve">OJT</t>
    </r>
    <r>
      <rPr>
        <sz val="11"/>
        <color rgb="FF000000"/>
        <rFont val="WenQuanYi Zen Hei"/>
        <family val="2"/>
      </rPr>
      <t xml:space="preserve">を補助している</t>
    </r>
  </si>
  <si>
    <r>
      <rPr>
        <sz val="11"/>
        <color rgb="FF000000"/>
        <rFont val="WenQuanYi Zen Hei"/>
        <family val="2"/>
      </rPr>
      <t xml:space="preserve">本体</t>
    </r>
    <r>
      <rPr>
        <sz val="11"/>
        <color rgb="FF000000"/>
        <rFont val="Meiryo UI"/>
        <family val="0"/>
        <charset val="1"/>
      </rPr>
      <t xml:space="preserve">HR</t>
    </r>
    <r>
      <rPr>
        <sz val="11"/>
        <color rgb="FF000000"/>
        <rFont val="WenQuanYi Zen Hei"/>
        <family val="2"/>
      </rPr>
      <t xml:space="preserve">の各チームと自ら連携し、窓口を担っている</t>
    </r>
  </si>
  <si>
    <t xml:space="preserve">運用する側として、規程・手順の改善を提案している</t>
  </si>
  <si>
    <t xml:space="preserve">人事データを上長の確認が不要な精度で作成している</t>
  </si>
  <si>
    <r>
      <rPr>
        <sz val="11"/>
        <color rgb="FF000000"/>
        <rFont val="WenQuanYi Zen Hei"/>
        <family val="2"/>
      </rPr>
      <t xml:space="preserve">人事・労務を主担当とし、将来は労務・</t>
    </r>
    <r>
      <rPr>
        <sz val="11"/>
        <color rgb="FF000000"/>
        <rFont val="Meiryo UI"/>
        <family val="0"/>
        <charset val="1"/>
      </rPr>
      <t xml:space="preserve">HR</t>
    </r>
    <r>
      <rPr>
        <sz val="11"/>
        <color rgb="FF000000"/>
        <rFont val="WenQuanYi Zen Hei"/>
        <family val="2"/>
      </rPr>
      <t xml:space="preserve">オペレーションの専門性を確立したい</t>
    </r>
  </si>
  <si>
    <r>
      <rPr>
        <sz val="11"/>
        <color rgb="FF000000"/>
        <rFont val="WenQuanYi Zen Hei"/>
        <family val="2"/>
      </rPr>
      <t xml:space="preserve">重点観点の目標は前回</t>
    </r>
    <r>
      <rPr>
        <sz val="11"/>
        <color rgb="FF000000"/>
        <rFont val="Meiryo UI"/>
        <family val="0"/>
        <charset val="1"/>
      </rPr>
      <t xml:space="preserve">FB</t>
    </r>
    <r>
      <rPr>
        <sz val="11"/>
        <color rgb="FF000000"/>
        <rFont val="WenQuanYi Zen Hei"/>
        <family val="2"/>
      </rPr>
      <t xml:space="preserve">の期待を反映しており、期末に達成度を判断できるため合意します。タスク管理表の運用は、四半期の</t>
    </r>
    <r>
      <rPr>
        <sz val="11"/>
        <color rgb="FF000000"/>
        <rFont val="Meiryo UI"/>
        <family val="0"/>
        <charset val="1"/>
      </rPr>
      <t xml:space="preserve">Check-in</t>
    </r>
    <r>
      <rPr>
        <sz val="11"/>
        <color rgb="FF000000"/>
        <rFont val="WenQuanYi Zen Hei"/>
        <family val="2"/>
      </rPr>
      <t xml:space="preserve">で確認します。</t>
    </r>
  </si>
  <si>
    <r>
      <rPr>
        <b val="true"/>
        <sz val="14"/>
        <color rgb="FF000000"/>
        <rFont val="Meiryo UI"/>
        <family val="0"/>
        <charset val="1"/>
      </rPr>
      <t xml:space="preserve">FY27 </t>
    </r>
    <r>
      <rPr>
        <b val="true"/>
        <sz val="14"/>
        <color rgb="FF000000"/>
        <rFont val="WenQuanYi Zen Hei"/>
        <family val="2"/>
      </rPr>
      <t xml:space="preserve">目標設定シート（</t>
    </r>
    <r>
      <rPr>
        <b val="true"/>
        <sz val="14"/>
        <color rgb="FF000000"/>
        <rFont val="Meiryo UI"/>
        <family val="0"/>
        <charset val="1"/>
      </rPr>
      <t xml:space="preserve">Corporate Planning</t>
    </r>
    <r>
      <rPr>
        <b val="true"/>
        <sz val="14"/>
        <color rgb="FF000000"/>
        <rFont val="WenQuanYi Zen Hei"/>
        <family val="2"/>
      </rPr>
      <t xml:space="preserve">）　記入例：</t>
    </r>
    <r>
      <rPr>
        <b val="true"/>
        <sz val="14"/>
        <color rgb="FF000000"/>
        <rFont val="Meiryo UI"/>
        <family val="0"/>
        <charset val="1"/>
      </rPr>
      <t xml:space="preserve">L4</t>
    </r>
  </si>
  <si>
    <t xml:space="preserve">院津 花子（サンプル）</t>
  </si>
  <si>
    <t xml:space="preserve">経営企画・業績管理</t>
  </si>
  <si>
    <t xml:space="preserve">院都 一郎（サンプル）</t>
  </si>
  <si>
    <t xml:space="preserve">L6</t>
  </si>
  <si>
    <r>
      <rPr>
        <sz val="11"/>
        <color rgb="FF000000"/>
        <rFont val="Meiryo UI"/>
        <family val="0"/>
        <charset val="1"/>
      </rPr>
      <t xml:space="preserve">L4 </t>
    </r>
    <r>
      <rPr>
        <sz val="11"/>
        <color rgb="FF000000"/>
        <rFont val="WenQuanYi Zen Hei"/>
        <family val="2"/>
      </rPr>
      <t xml:space="preserve">マネジャーとして、経営企画・業績管理と経理・財務の</t>
    </r>
    <r>
      <rPr>
        <sz val="11"/>
        <color rgb="FF000000"/>
        <rFont val="Meiryo UI"/>
        <family val="0"/>
        <charset val="1"/>
      </rPr>
      <t xml:space="preserve">2</t>
    </r>
    <r>
      <rPr>
        <sz val="11"/>
        <color rgb="FF000000"/>
        <rFont val="WenQuanYi Zen Hei"/>
        <family val="2"/>
      </rPr>
      <t xml:space="preserve">領域を統括し、経営資料の品質と</t>
    </r>
    <r>
      <rPr>
        <sz val="11"/>
        <color rgb="FF000000"/>
        <rFont val="Meiryo UI"/>
        <family val="0"/>
        <charset val="1"/>
      </rPr>
      <t xml:space="preserve">KPI</t>
    </r>
    <r>
      <rPr>
        <sz val="11"/>
        <color rgb="FF000000"/>
        <rFont val="WenQuanYi Zen Hei"/>
        <family val="2"/>
      </rPr>
      <t xml:space="preserve">の整合を自律的に管理する。重点観点（各</t>
    </r>
    <r>
      <rPr>
        <sz val="11"/>
        <color rgb="FF000000"/>
        <rFont val="Meiryo UI"/>
        <family val="0"/>
        <charset val="1"/>
      </rPr>
      <t xml:space="preserve">15%</t>
    </r>
    <r>
      <rPr>
        <sz val="11"/>
        <color rgb="FF000000"/>
        <rFont val="WenQuanYi Zen Hei"/>
        <family val="2"/>
      </rPr>
      <t xml:space="preserve">）の問題解決能力・タスク管理・マネジメント力・ファームビルディングで期待水準（評価</t>
    </r>
    <r>
      <rPr>
        <sz val="11"/>
        <color rgb="FF000000"/>
        <rFont val="Meiryo UI"/>
        <family val="0"/>
        <charset val="1"/>
      </rPr>
      <t xml:space="preserve">3</t>
    </r>
    <r>
      <rPr>
        <sz val="11"/>
        <color rgb="FF000000"/>
        <rFont val="WenQuanYi Zen Hei"/>
        <family val="2"/>
      </rPr>
      <t xml:space="preserve">）を満たし、</t>
    </r>
    <r>
      <rPr>
        <sz val="11"/>
        <color rgb="FF000000"/>
        <rFont val="Meiryo UI"/>
        <family val="0"/>
        <charset val="1"/>
      </rPr>
      <t xml:space="preserve">L1</t>
    </r>
    <r>
      <rPr>
        <sz val="11"/>
        <color rgb="FF000000"/>
        <rFont val="WenQuanYi Zen Hei"/>
        <family val="2"/>
      </rPr>
      <t xml:space="preserve">〜</t>
    </r>
    <r>
      <rPr>
        <sz val="11"/>
        <color rgb="FF000000"/>
        <rFont val="Meiryo UI"/>
        <family val="0"/>
        <charset val="1"/>
      </rPr>
      <t xml:space="preserve">L2</t>
    </r>
    <r>
      <rPr>
        <sz val="11"/>
        <color rgb="FF000000"/>
        <rFont val="WenQuanYi Zen Hei"/>
        <family val="2"/>
      </rPr>
      <t xml:space="preserve">のメンバーを定常業務を単独で担える水準に育てる。</t>
    </r>
  </si>
  <si>
    <t xml:space="preserve">担当テーマの論点設定と仮説構築を、最小限の上長の指導で行う</t>
  </si>
  <si>
    <t xml:space="preserve">テーマ着手時に論点ツリーを作り、初回レビューで合意する</t>
  </si>
  <si>
    <t xml:space="preserve">論点設計が初回レビューで合意され、大きな手戻りがない</t>
  </si>
  <si>
    <r>
      <rPr>
        <sz val="11"/>
        <color rgb="FF000000"/>
        <rFont val="WenQuanYi Zen Hei"/>
        <family val="2"/>
      </rPr>
      <t xml:space="preserve">担当</t>
    </r>
    <r>
      <rPr>
        <sz val="11"/>
        <color rgb="FF000000"/>
        <rFont val="Meiryo UI"/>
        <family val="0"/>
        <charset val="1"/>
      </rPr>
      <t xml:space="preserve">2</t>
    </r>
    <r>
      <rPr>
        <sz val="11"/>
        <color rgb="FF000000"/>
        <rFont val="WenQuanYi Zen Hei"/>
        <family val="2"/>
      </rPr>
      <t xml:space="preserve">領域の計画・予算・品質を管理し、主要な業務を期日どおりに完了する</t>
    </r>
  </si>
  <si>
    <r>
      <rPr>
        <sz val="11"/>
        <color rgb="FF000000"/>
        <rFont val="WenQuanYi Zen Hei"/>
        <family val="2"/>
      </rPr>
      <t xml:space="preserve">期初に</t>
    </r>
    <r>
      <rPr>
        <sz val="11"/>
        <color rgb="FF000000"/>
        <rFont val="Meiryo UI"/>
        <family val="0"/>
        <charset val="1"/>
      </rPr>
      <t xml:space="preserve">WBS</t>
    </r>
    <r>
      <rPr>
        <sz val="11"/>
        <color rgb="FF000000"/>
        <rFont val="WenQuanYi Zen Hei"/>
        <family val="2"/>
      </rPr>
      <t xml:space="preserve">を作り、週次で進捗とリスクを上長に報告する</t>
    </r>
  </si>
  <si>
    <r>
      <rPr>
        <sz val="11"/>
        <color rgb="FF000000"/>
        <rFont val="Meiryo UI"/>
        <family val="0"/>
        <charset val="1"/>
      </rPr>
      <t xml:space="preserve">MBR</t>
    </r>
    <r>
      <rPr>
        <sz val="11"/>
        <color rgb="FF000000"/>
        <rFont val="WenQuanYi Zen Hei"/>
        <family val="2"/>
      </rPr>
      <t xml:space="preserve">と月次決算の主要マイルストーンが期日どおりに完了している</t>
    </r>
  </si>
  <si>
    <t xml:space="preserve">事業部門・本体との定例会を自ら主導し、合意を形成する</t>
  </si>
  <si>
    <t xml:space="preserve">定例会のファシリテーションを毎回担当する</t>
  </si>
  <si>
    <t xml:space="preserve">定例会が意思決定の場として機能している</t>
  </si>
  <si>
    <t xml:space="preserve">チームの成果物（経営資料・規程案）の品質に責任を持つ</t>
  </si>
  <si>
    <t xml:space="preserve">資料のストーリーを自ら設計し、メンバーの資料をレビューする</t>
  </si>
  <si>
    <t xml:space="preserve">チームの資料が上長の大きな修正なしで承認されている</t>
  </si>
  <si>
    <t xml:space="preserve">経営企画・業績管理で市場水準の専門性を持ち、経営課題の解決に生かす</t>
  </si>
  <si>
    <r>
      <rPr>
        <sz val="11"/>
        <color rgb="FF000000"/>
        <rFont val="WenQuanYi Zen Hei"/>
        <family val="2"/>
      </rPr>
      <t xml:space="preserve">予実管理・</t>
    </r>
    <r>
      <rPr>
        <sz val="11"/>
        <color rgb="FF000000"/>
        <rFont val="Meiryo UI"/>
        <family val="0"/>
        <charset val="1"/>
      </rPr>
      <t xml:space="preserve">KPI</t>
    </r>
    <r>
      <rPr>
        <sz val="11"/>
        <color rgb="FF000000"/>
        <rFont val="WenQuanYi Zen Hei"/>
        <family val="2"/>
      </rPr>
      <t xml:space="preserve">設計の手法を四半期ごとにチームへ共有する</t>
    </r>
  </si>
  <si>
    <t xml:space="preserve">専門性を生かした提言が経営会議で採用されている</t>
  </si>
  <si>
    <t xml:space="preserve">メンバーの育成計画を作り、キャリアを支援する</t>
  </si>
  <si>
    <r>
      <rPr>
        <sz val="11"/>
        <color rgb="FF000000"/>
        <rFont val="WenQuanYi Zen Hei"/>
        <family val="2"/>
      </rPr>
      <t xml:space="preserve">メンバーと週一回の</t>
    </r>
    <r>
      <rPr>
        <sz val="11"/>
        <color rgb="FF000000"/>
        <rFont val="Meiryo UI"/>
        <family val="0"/>
        <charset val="1"/>
      </rPr>
      <t xml:space="preserve">1on1</t>
    </r>
    <r>
      <rPr>
        <sz val="11"/>
        <color rgb="FF000000"/>
        <rFont val="WenQuanYi Zen Hei"/>
        <family val="2"/>
      </rPr>
      <t xml:space="preserve">を行い、評価期間ごとに評価シートと</t>
    </r>
    <r>
      <rPr>
        <sz val="11"/>
        <color rgb="FF000000"/>
        <rFont val="Meiryo UI"/>
        <family val="0"/>
        <charset val="1"/>
      </rPr>
      <t xml:space="preserve">FB</t>
    </r>
    <r>
      <rPr>
        <sz val="11"/>
        <color rgb="FF000000"/>
        <rFont val="WenQuanYi Zen Hei"/>
        <family val="2"/>
      </rPr>
      <t xml:space="preserve">面談を行う</t>
    </r>
  </si>
  <si>
    <t xml:space="preserve">メンバーの評価が前回より上がっている</t>
  </si>
  <si>
    <t xml:space="preserve">部門責任者・本体経理と協働できる環境を整える</t>
  </si>
  <si>
    <t xml:space="preserve">関係部門の責任者と月一回の対話の場を設ける</t>
  </si>
  <si>
    <t xml:space="preserve">関係部門との調整事項が期日内に合意されている</t>
  </si>
  <si>
    <t xml:space="preserve">チームの業務品質と法令順守に責任を持ち、ナレッジ化を進める</t>
  </si>
  <si>
    <r>
      <rPr>
        <sz val="11"/>
        <color rgb="FF000000"/>
        <rFont val="WenQuanYi Zen Hei"/>
        <family val="2"/>
      </rPr>
      <t xml:space="preserve">業務手順書を年</t>
    </r>
    <r>
      <rPr>
        <sz val="11"/>
        <color rgb="FF000000"/>
        <rFont val="Meiryo UI"/>
        <family val="0"/>
        <charset val="1"/>
      </rPr>
      <t xml:space="preserve">2</t>
    </r>
    <r>
      <rPr>
        <sz val="11"/>
        <color rgb="FF000000"/>
        <rFont val="WenQuanYi Zen Hei"/>
        <family val="2"/>
      </rPr>
      <t xml:space="preserve">本作り、チームに共有する</t>
    </r>
  </si>
  <si>
    <t xml:space="preserve">作った手順書がメンバーの業務で使われている</t>
  </si>
  <si>
    <r>
      <rPr>
        <sz val="11"/>
        <color rgb="FF000000"/>
        <rFont val="WenQuanYi Zen Hei"/>
        <family val="2"/>
      </rPr>
      <t xml:space="preserve">経営資料の品質管理、定型プロセスの整備、</t>
    </r>
    <r>
      <rPr>
        <sz val="11"/>
        <color rgb="FF000000"/>
        <rFont val="Meiryo UI"/>
        <family val="0"/>
        <charset val="1"/>
      </rPr>
      <t xml:space="preserve">KPI</t>
    </r>
    <r>
      <rPr>
        <sz val="11"/>
        <color rgb="FF000000"/>
        <rFont val="WenQuanYi Zen Hei"/>
        <family val="2"/>
      </rPr>
      <t xml:space="preserve">の整合確認を自律的に行う</t>
    </r>
  </si>
  <si>
    <t xml:space="preserve">月次の経営資料の作成手順とチェックリストを整備する</t>
  </si>
  <si>
    <t xml:space="preserve">経営資料が上長の修正なしで経営会議に提出されている</t>
  </si>
  <si>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Meiryo UI"/>
        <family val="0"/>
        <charset val="1"/>
      </rPr>
      <t xml:space="preserve">L4</t>
    </r>
    <r>
      <rPr>
        <sz val="11"/>
        <color rgb="FF000000"/>
        <rFont val="WenQuanYi Zen Hei"/>
        <family val="2"/>
      </rPr>
      <t xml:space="preserve">以上は任意）</t>
    </r>
    <r>
      <rPr>
        <sz val="11"/>
        <color rgb="FF000000"/>
        <rFont val="Meiryo UI"/>
        <family val="0"/>
        <charset val="1"/>
      </rPr>
      <t xml:space="preserve">L5</t>
    </r>
    <r>
      <rPr>
        <sz val="11"/>
        <color rgb="FF000000"/>
        <rFont val="WenQuanYi Zen Hei"/>
        <family val="2"/>
      </rPr>
      <t xml:space="preserve">の水準である「中期計画・</t>
    </r>
    <r>
      <rPr>
        <sz val="11"/>
        <color rgb="FF000000"/>
        <rFont val="Meiryo UI"/>
        <family val="0"/>
        <charset val="1"/>
      </rPr>
      <t xml:space="preserve">KPI</t>
    </r>
    <r>
      <rPr>
        <sz val="11"/>
        <color rgb="FF000000"/>
        <rFont val="WenQuanYi Zen Hei"/>
        <family val="2"/>
      </rPr>
      <t xml:space="preserve">・会議体の設計」に一部取り組む</t>
    </r>
  </si>
  <si>
    <r>
      <rPr>
        <sz val="11"/>
        <color rgb="FF000000"/>
        <rFont val="Meiryo UI"/>
        <family val="0"/>
        <charset val="1"/>
      </rPr>
      <t xml:space="preserve">FY28</t>
    </r>
    <r>
      <rPr>
        <sz val="11"/>
        <color rgb="FF000000"/>
        <rFont val="WenQuanYi Zen Hei"/>
        <family val="2"/>
      </rPr>
      <t xml:space="preserve">予算策定で</t>
    </r>
    <r>
      <rPr>
        <sz val="11"/>
        <color rgb="FF000000"/>
        <rFont val="Meiryo UI"/>
        <family val="0"/>
        <charset val="1"/>
      </rPr>
      <t xml:space="preserve">KPI</t>
    </r>
    <r>
      <rPr>
        <sz val="11"/>
        <color rgb="FF000000"/>
        <rFont val="WenQuanYi Zen Hei"/>
        <family val="2"/>
      </rPr>
      <t xml:space="preserve">体系の見直し案を作る</t>
    </r>
  </si>
  <si>
    <t xml:space="preserve">見直し案が上長のレビューを経て経営会議に付議されている</t>
  </si>
  <si>
    <t xml:space="preserve">L5</t>
  </si>
  <si>
    <r>
      <rPr>
        <sz val="11"/>
        <color rgb="FF000000"/>
        <rFont val="Meiryo UI"/>
        <family val="0"/>
        <charset val="1"/>
      </rPr>
      <t xml:space="preserve">3</t>
    </r>
    <r>
      <rPr>
        <sz val="11"/>
        <color rgb="FF000000"/>
        <rFont val="WenQuanYi Zen Hei"/>
        <family val="2"/>
      </rPr>
      <t xml:space="preserve">年後は</t>
    </r>
    <r>
      <rPr>
        <sz val="11"/>
        <color rgb="FF000000"/>
        <rFont val="Meiryo UI"/>
        <family val="0"/>
        <charset val="1"/>
      </rPr>
      <t xml:space="preserve">L5 </t>
    </r>
    <r>
      <rPr>
        <sz val="11"/>
        <color rgb="FF000000"/>
        <rFont val="WenQuanYi Zen Hei"/>
        <family val="2"/>
      </rPr>
      <t xml:space="preserve">アソシエイトディレクター（</t>
    </r>
    <r>
      <rPr>
        <sz val="11"/>
        <color rgb="FF000000"/>
        <rFont val="Meiryo UI"/>
        <family val="0"/>
        <charset val="1"/>
      </rPr>
      <t xml:space="preserve">INTS</t>
    </r>
    <r>
      <rPr>
        <sz val="11"/>
        <color rgb="FF000000"/>
        <rFont val="WenQuanYi Zen Hei"/>
        <family val="2"/>
      </rPr>
      <t xml:space="preserve">：</t>
    </r>
    <r>
      <rPr>
        <sz val="11"/>
        <color rgb="FF000000"/>
        <rFont val="Meiryo UI"/>
        <family val="0"/>
        <charset val="1"/>
      </rPr>
      <t xml:space="preserve">Manager</t>
    </r>
    <r>
      <rPr>
        <sz val="11"/>
        <color rgb="FF000000"/>
        <rFont val="WenQuanYi Zen Hei"/>
        <family val="2"/>
      </rPr>
      <t xml:space="preserve">〜</t>
    </r>
    <r>
      <rPr>
        <sz val="11"/>
        <color rgb="FF000000"/>
        <rFont val="Meiryo UI"/>
        <family val="0"/>
        <charset val="1"/>
      </rPr>
      <t xml:space="preserve">Senior Manager</t>
    </r>
    <r>
      <rPr>
        <sz val="11"/>
        <color rgb="FF000000"/>
        <rFont val="WenQuanYi Zen Hei"/>
        <family val="2"/>
      </rPr>
      <t xml:space="preserve">）として、バックオフィス全領域の計画・管理の仕組みを設計し、中期計画・</t>
    </r>
    <r>
      <rPr>
        <sz val="11"/>
        <color rgb="FF000000"/>
        <rFont val="Meiryo UI"/>
        <family val="0"/>
        <charset val="1"/>
      </rPr>
      <t xml:space="preserve">KPI</t>
    </r>
    <r>
      <rPr>
        <sz val="11"/>
        <color rgb="FF000000"/>
        <rFont val="WenQuanYi Zen Hei"/>
        <family val="2"/>
      </rPr>
      <t xml:space="preserve">・会議体の設計を主導している。</t>
    </r>
  </si>
  <si>
    <t xml:space="preserve">部門横断の課題について打ち手を設計している</t>
  </si>
  <si>
    <r>
      <rPr>
        <sz val="11"/>
        <color rgb="FF000000"/>
        <rFont val="Meiryo UI"/>
        <family val="0"/>
        <charset val="1"/>
      </rPr>
      <t xml:space="preserve">Corp Planning</t>
    </r>
    <r>
      <rPr>
        <sz val="11"/>
        <color rgb="FF000000"/>
        <rFont val="WenQuanYi Zen Hei"/>
        <family val="2"/>
      </rPr>
      <t xml:space="preserve">全体のリソース配分を最適化している</t>
    </r>
  </si>
  <si>
    <t xml:space="preserve">対立するテーマでも合意形成を主導している</t>
  </si>
  <si>
    <t xml:space="preserve">経営向けの方針書・制度案を作成している</t>
  </si>
  <si>
    <t xml:space="preserve">経営企画と経理・財務に精通し、計画・管理の制度を設計している</t>
  </si>
  <si>
    <r>
      <rPr>
        <sz val="11"/>
        <color rgb="FF000000"/>
        <rFont val="Meiryo UI"/>
        <family val="0"/>
        <charset val="1"/>
      </rPr>
      <t xml:space="preserve">Corp Planning</t>
    </r>
    <r>
      <rPr>
        <sz val="11"/>
        <color rgb="FF000000"/>
        <rFont val="WenQuanYi Zen Hei"/>
        <family val="2"/>
      </rPr>
      <t xml:space="preserve">の人材要件を定義し、採用・育成計画を作っている</t>
    </r>
  </si>
  <si>
    <r>
      <rPr>
        <sz val="11"/>
        <color rgb="FF000000"/>
        <rFont val="WenQuanYi Zen Hei"/>
        <family val="2"/>
      </rPr>
      <t xml:space="preserve">本体・</t>
    </r>
    <r>
      <rPr>
        <sz val="11"/>
        <color rgb="FF000000"/>
        <rFont val="Meiryo UI"/>
        <family val="0"/>
        <charset val="1"/>
      </rPr>
      <t xml:space="preserve">ICBP</t>
    </r>
    <r>
      <rPr>
        <sz val="11"/>
        <color rgb="FF000000"/>
        <rFont val="WenQuanYi Zen Hei"/>
        <family val="2"/>
      </rPr>
      <t xml:space="preserve">との連携体制を構築している</t>
    </r>
  </si>
  <si>
    <t xml:space="preserve">品質・リスク管理の仕組みを整備している</t>
  </si>
  <si>
    <r>
      <rPr>
        <sz val="11"/>
        <color rgb="FF000000"/>
        <rFont val="Meiryo UI"/>
        <family val="0"/>
        <charset val="1"/>
      </rPr>
      <t xml:space="preserve">KPI</t>
    </r>
    <r>
      <rPr>
        <sz val="11"/>
        <color rgb="FF000000"/>
        <rFont val="WenQuanYi Zen Hei"/>
        <family val="2"/>
      </rPr>
      <t xml:space="preserve">体系と計画プロセスを設計している</t>
    </r>
  </si>
  <si>
    <t xml:space="preserve">非財務</t>
  </si>
  <si>
    <t xml:space="preserve">人材育成実績：定常業務を単独で担えるメンバーの人数</t>
  </si>
  <si>
    <t xml:space="preserve">期末時点で上長が判定</t>
  </si>
  <si>
    <r>
      <rPr>
        <sz val="11"/>
        <color rgb="FF000000"/>
        <rFont val="Meiryo UI"/>
        <family val="0"/>
        <charset val="1"/>
      </rPr>
      <t xml:space="preserve">1</t>
    </r>
    <r>
      <rPr>
        <sz val="11"/>
        <color rgb="FF000000"/>
        <rFont val="WenQuanYi Zen Hei"/>
        <family val="2"/>
      </rPr>
      <t xml:space="preserve">名</t>
    </r>
  </si>
  <si>
    <r>
      <rPr>
        <sz val="11"/>
        <color rgb="FF000000"/>
        <rFont val="Meiryo UI"/>
        <family val="0"/>
        <charset val="1"/>
      </rPr>
      <t xml:space="preserve">2</t>
    </r>
    <r>
      <rPr>
        <sz val="11"/>
        <color rgb="FF000000"/>
        <rFont val="WenQuanYi Zen Hei"/>
        <family val="2"/>
      </rPr>
      <t xml:space="preserve">名</t>
    </r>
  </si>
  <si>
    <r>
      <rPr>
        <sz val="11"/>
        <color rgb="FF000000"/>
        <rFont val="Meiryo UI"/>
        <family val="0"/>
        <charset val="1"/>
      </rPr>
      <t xml:space="preserve">3</t>
    </r>
    <r>
      <rPr>
        <sz val="11"/>
        <color rgb="FF000000"/>
        <rFont val="WenQuanYi Zen Hei"/>
        <family val="2"/>
      </rPr>
      <t xml:space="preserve">名</t>
    </r>
  </si>
  <si>
    <t xml:space="preserve">プロセス改善：月次経営資料の作成工数の削減率</t>
  </si>
  <si>
    <r>
      <rPr>
        <sz val="11"/>
        <color rgb="FF000000"/>
        <rFont val="Meiryo UI"/>
        <family val="0"/>
        <charset val="1"/>
      </rPr>
      <t xml:space="preserve">FY26</t>
    </r>
    <r>
      <rPr>
        <sz val="11"/>
        <color rgb="FF000000"/>
        <rFont val="WenQuanYi Zen Hei"/>
        <family val="2"/>
      </rPr>
      <t xml:space="preserve">下期の工数との比較</t>
    </r>
  </si>
  <si>
    <t xml:space="preserve">10%</t>
  </si>
  <si>
    <t xml:space="preserve">20%</t>
  </si>
  <si>
    <t xml:space="preserve">30%</t>
  </si>
  <si>
    <r>
      <rPr>
        <sz val="11"/>
        <color rgb="FF000000"/>
        <rFont val="WenQuanYi Zen Hei"/>
        <family val="2"/>
      </rPr>
      <t xml:space="preserve">重点観点の目標が具体的で、期末に達成度を判断できるため合意します。</t>
    </r>
    <r>
      <rPr>
        <sz val="11"/>
        <color rgb="FF000000"/>
        <rFont val="Meiryo UI"/>
        <family val="0"/>
        <charset val="1"/>
      </rPr>
      <t xml:space="preserve">KPI</t>
    </r>
    <r>
      <rPr>
        <sz val="11"/>
        <color rgb="FF000000"/>
        <rFont val="WenQuanYi Zen Hei"/>
        <family val="2"/>
      </rPr>
      <t xml:space="preserve">の目標値は試行期間中の数値として扱い、半期の中間レビューで見直します。</t>
    </r>
  </si>
  <si>
    <r>
      <rPr>
        <b val="true"/>
        <sz val="12"/>
        <color rgb="FF000000"/>
        <rFont val="WenQuanYi Zen Hei"/>
        <family val="2"/>
      </rPr>
      <t xml:space="preserve">マスタ（目標設定シートのプルダウン・自動表示の参照元。編集は</t>
    </r>
    <r>
      <rPr>
        <b val="true"/>
        <sz val="12"/>
        <color rgb="FF000000"/>
        <rFont val="Meiryo UI"/>
        <family val="0"/>
        <charset val="1"/>
      </rPr>
      <t xml:space="preserve">Corp Planning</t>
    </r>
    <r>
      <rPr>
        <b val="true"/>
        <sz val="12"/>
        <color rgb="FF000000"/>
        <rFont val="WenQuanYi Zen Hei"/>
        <family val="2"/>
      </rPr>
      <t xml:space="preserve">のみ）</t>
    </r>
  </si>
  <si>
    <t xml:space="preserve">タイトル（本体）</t>
  </si>
  <si>
    <t xml:space="preserve">英語表記</t>
  </si>
  <si>
    <t xml:space="preserve">本体の職位</t>
  </si>
  <si>
    <t xml:space="preserve">本体の事務職バンド</t>
  </si>
  <si>
    <r>
      <rPr>
        <b val="true"/>
        <sz val="11"/>
        <color rgb="FF000000"/>
        <rFont val="Meiryo UI"/>
        <family val="0"/>
        <charset val="1"/>
      </rPr>
      <t xml:space="preserve">INTS</t>
    </r>
    <r>
      <rPr>
        <b val="true"/>
        <sz val="11"/>
        <color rgb="FF000000"/>
        <rFont val="WenQuanYi Zen Hei"/>
        <family val="2"/>
      </rPr>
      <t xml:space="preserve">等級（処遇・評価）</t>
    </r>
  </si>
  <si>
    <t xml:space="preserve">マネジメントスパン（担当領域）</t>
  </si>
  <si>
    <t xml:space="preserve">指導・管理する人数</t>
  </si>
  <si>
    <r>
      <rPr>
        <b val="true"/>
        <sz val="11"/>
        <color rgb="FF000000"/>
        <rFont val="Meiryo UI"/>
        <family val="0"/>
        <charset val="1"/>
      </rPr>
      <t xml:space="preserve">KPI</t>
    </r>
    <r>
      <rPr>
        <b val="true"/>
        <sz val="11"/>
        <color rgb="FF000000"/>
        <rFont val="WenQuanYi Zen Hei"/>
        <family val="2"/>
      </rPr>
      <t xml:space="preserve">目標</t>
    </r>
  </si>
  <si>
    <t xml:space="preserve">コンピテンシー評価の比率</t>
  </si>
  <si>
    <t xml:space="preserve">スタッフ／サブチーフ</t>
  </si>
  <si>
    <t xml:space="preserve">Staff / Sub Chief</t>
  </si>
  <si>
    <t xml:space="preserve">社員・副主任</t>
  </si>
  <si>
    <r>
      <rPr>
        <sz val="11"/>
        <color rgb="FF000000"/>
        <rFont val="Meiryo UI"/>
        <family val="0"/>
        <charset val="1"/>
      </rPr>
      <t xml:space="preserve">A01</t>
    </r>
    <r>
      <rPr>
        <sz val="11"/>
        <color rgb="FF000000"/>
        <rFont val="WenQuanYi Zen Hei"/>
        <family val="2"/>
      </rPr>
      <t xml:space="preserve">〜</t>
    </r>
    <r>
      <rPr>
        <sz val="11"/>
        <color rgb="FF000000"/>
        <rFont val="Meiryo UI"/>
        <family val="0"/>
        <charset val="1"/>
      </rPr>
      <t xml:space="preserve">A03</t>
    </r>
  </si>
  <si>
    <t xml:space="preserve">Associate</t>
  </si>
  <si>
    <r>
      <rPr>
        <sz val="11"/>
        <color rgb="FF000000"/>
        <rFont val="Meiryo UI"/>
        <family val="0"/>
        <charset val="1"/>
      </rPr>
      <t xml:space="preserve">1</t>
    </r>
    <r>
      <rPr>
        <sz val="11"/>
        <color rgb="FF000000"/>
        <rFont val="WenQuanYi Zen Hei"/>
        <family val="2"/>
      </rPr>
      <t xml:space="preserve">領域の定型業務（指示された範囲）</t>
    </r>
  </si>
  <si>
    <t xml:space="preserve">なし</t>
  </si>
  <si>
    <t xml:space="preserve">対象外</t>
  </si>
  <si>
    <t xml:space="preserve">チーフ</t>
  </si>
  <si>
    <t xml:space="preserve">Chief</t>
  </si>
  <si>
    <t xml:space="preserve">主任</t>
  </si>
  <si>
    <r>
      <rPr>
        <sz val="11"/>
        <color rgb="FF000000"/>
        <rFont val="Meiryo UI"/>
        <family val="0"/>
        <charset val="1"/>
      </rPr>
      <t xml:space="preserve">A04</t>
    </r>
    <r>
      <rPr>
        <sz val="11"/>
        <color rgb="FF000000"/>
        <rFont val="WenQuanYi Zen Hei"/>
        <family val="2"/>
      </rPr>
      <t xml:space="preserve">〜</t>
    </r>
    <r>
      <rPr>
        <sz val="11"/>
        <color rgb="FF000000"/>
        <rFont val="Meiryo UI"/>
        <family val="0"/>
        <charset val="1"/>
      </rPr>
      <t xml:space="preserve">A05</t>
    </r>
  </si>
  <si>
    <t xml:space="preserve">Consultant</t>
  </si>
  <si>
    <r>
      <rPr>
        <sz val="11"/>
        <color rgb="FF000000"/>
        <rFont val="Meiryo UI"/>
        <family val="0"/>
        <charset val="1"/>
      </rPr>
      <t xml:space="preserve">1</t>
    </r>
    <r>
      <rPr>
        <sz val="11"/>
        <color rgb="FF000000"/>
        <rFont val="WenQuanYi Zen Hei"/>
        <family val="2"/>
      </rPr>
      <t xml:space="preserve">領域の業務一式を自立運用＋他領域の定型業務を補助</t>
    </r>
  </si>
  <si>
    <r>
      <rPr>
        <sz val="11"/>
        <color rgb="FF000000"/>
        <rFont val="WenQuanYi Zen Hei"/>
        <family val="2"/>
      </rPr>
      <t xml:space="preserve">なし（新メンバーの</t>
    </r>
    <r>
      <rPr>
        <sz val="11"/>
        <color rgb="FF000000"/>
        <rFont val="Meiryo UI"/>
        <family val="0"/>
        <charset val="1"/>
      </rPr>
      <t xml:space="preserve">OJT</t>
    </r>
    <r>
      <rPr>
        <sz val="11"/>
        <color rgb="FF000000"/>
        <rFont val="WenQuanYi Zen Hei"/>
        <family val="2"/>
      </rPr>
      <t xml:space="preserve">を補助）</t>
    </r>
  </si>
  <si>
    <t xml:space="preserve">L3</t>
  </si>
  <si>
    <t xml:space="preserve">アシスタントマネジャー／デピュティマネジャー</t>
  </si>
  <si>
    <t xml:space="preserve">Assistant Manager / Deputy Manager</t>
  </si>
  <si>
    <t xml:space="preserve">課長補佐・課長代理</t>
  </si>
  <si>
    <r>
      <rPr>
        <sz val="11"/>
        <color rgb="FF000000"/>
        <rFont val="Meiryo UI"/>
        <family val="0"/>
        <charset val="1"/>
      </rPr>
      <t xml:space="preserve">A06</t>
    </r>
    <r>
      <rPr>
        <sz val="11"/>
        <color rgb="FF000000"/>
        <rFont val="WenQuanYi Zen Hei"/>
        <family val="2"/>
      </rPr>
      <t xml:space="preserve">〜</t>
    </r>
    <r>
      <rPr>
        <sz val="11"/>
        <color rgb="FF000000"/>
        <rFont val="Meiryo UI"/>
        <family val="0"/>
        <charset val="1"/>
      </rPr>
      <t xml:space="preserve">A08</t>
    </r>
  </si>
  <si>
    <t xml:space="preserve">Senior Consultant</t>
  </si>
  <si>
    <r>
      <rPr>
        <sz val="11"/>
        <color rgb="FF000000"/>
        <rFont val="Meiryo UI"/>
        <family val="0"/>
        <charset val="1"/>
      </rPr>
      <t xml:space="preserve">1</t>
    </r>
    <r>
      <rPr>
        <sz val="11"/>
        <color rgb="FF000000"/>
        <rFont val="WenQuanYi Zen Hei"/>
        <family val="2"/>
      </rPr>
      <t xml:space="preserve">領域のリード＋隣接</t>
    </r>
    <r>
      <rPr>
        <sz val="11"/>
        <color rgb="FF000000"/>
        <rFont val="Meiryo UI"/>
        <family val="0"/>
        <charset val="1"/>
      </rPr>
      <t xml:space="preserve">1</t>
    </r>
    <r>
      <rPr>
        <sz val="11"/>
        <color rgb="FF000000"/>
        <rFont val="WenQuanYi Zen Hei"/>
        <family val="2"/>
      </rPr>
      <t xml:space="preserve">〜</t>
    </r>
    <r>
      <rPr>
        <sz val="11"/>
        <color rgb="FF000000"/>
        <rFont val="Meiryo UI"/>
        <family val="0"/>
        <charset val="1"/>
      </rPr>
      <t xml:space="preserve">2</t>
    </r>
    <r>
      <rPr>
        <sz val="11"/>
        <color rgb="FF000000"/>
        <rFont val="WenQuanYi Zen Hei"/>
        <family val="2"/>
      </rPr>
      <t xml:space="preserve">領域の実務</t>
    </r>
  </si>
  <si>
    <r>
      <rPr>
        <sz val="11"/>
        <color rgb="FF000000"/>
        <rFont val="Meiryo UI"/>
        <family val="0"/>
        <charset val="1"/>
      </rPr>
      <t xml:space="preserve">L1</t>
    </r>
    <r>
      <rPr>
        <sz val="11"/>
        <color rgb="FF000000"/>
        <rFont val="WenQuanYi Zen Hei"/>
        <family val="2"/>
      </rPr>
      <t xml:space="preserve">〜</t>
    </r>
    <r>
      <rPr>
        <sz val="11"/>
        <color rgb="FF000000"/>
        <rFont val="Meiryo UI"/>
        <family val="0"/>
        <charset val="1"/>
      </rPr>
      <t xml:space="preserve">L2</t>
    </r>
    <r>
      <rPr>
        <sz val="11"/>
        <color rgb="FF000000"/>
        <rFont val="WenQuanYi Zen Hei"/>
        <family val="2"/>
      </rPr>
      <t xml:space="preserve">を</t>
    </r>
    <r>
      <rPr>
        <sz val="11"/>
        <color rgb="FF000000"/>
        <rFont val="Meiryo UI"/>
        <family val="0"/>
        <charset val="1"/>
      </rPr>
      <t xml:space="preserve">1</t>
    </r>
    <r>
      <rPr>
        <sz val="11"/>
        <color rgb="FF000000"/>
        <rFont val="WenQuanYi Zen Hei"/>
        <family val="2"/>
      </rPr>
      <t xml:space="preserve">〜</t>
    </r>
    <r>
      <rPr>
        <sz val="11"/>
        <color rgb="FF000000"/>
        <rFont val="Meiryo UI"/>
        <family val="0"/>
        <charset val="1"/>
      </rPr>
      <t xml:space="preserve">2</t>
    </r>
    <r>
      <rPr>
        <sz val="11"/>
        <color rgb="FF000000"/>
        <rFont val="WenQuanYi Zen Hei"/>
        <family val="2"/>
      </rPr>
      <t xml:space="preserve">名指導</t>
    </r>
  </si>
  <si>
    <t xml:space="preserve">マネジャー</t>
  </si>
  <si>
    <t xml:space="preserve">Manager</t>
  </si>
  <si>
    <t xml:space="preserve">課長</t>
  </si>
  <si>
    <t xml:space="preserve">A09</t>
  </si>
  <si>
    <r>
      <rPr>
        <sz val="11"/>
        <color rgb="FF000000"/>
        <rFont val="Meiryo UI"/>
        <family val="0"/>
        <charset val="1"/>
      </rPr>
      <t xml:space="preserve">2</t>
    </r>
    <r>
      <rPr>
        <sz val="11"/>
        <color rgb="FF000000"/>
        <rFont val="WenQuanYi Zen Hei"/>
        <family val="2"/>
      </rPr>
      <t xml:space="preserve">〜</t>
    </r>
    <r>
      <rPr>
        <sz val="11"/>
        <color rgb="FF000000"/>
        <rFont val="Meiryo UI"/>
        <family val="0"/>
        <charset val="1"/>
      </rPr>
      <t xml:space="preserve">3</t>
    </r>
    <r>
      <rPr>
        <sz val="11"/>
        <color rgb="FF000000"/>
        <rFont val="WenQuanYi Zen Hei"/>
        <family val="2"/>
      </rPr>
      <t xml:space="preserve">領域の統括</t>
    </r>
  </si>
  <si>
    <r>
      <rPr>
        <sz val="11"/>
        <color rgb="FF000000"/>
        <rFont val="Meiryo UI"/>
        <family val="0"/>
        <charset val="1"/>
      </rPr>
      <t xml:space="preserve">1</t>
    </r>
    <r>
      <rPr>
        <sz val="11"/>
        <color rgb="FF000000"/>
        <rFont val="WenQuanYi Zen Hei"/>
        <family val="2"/>
      </rPr>
      <t xml:space="preserve">チーム（</t>
    </r>
    <r>
      <rPr>
        <sz val="11"/>
        <color rgb="FF000000"/>
        <rFont val="Meiryo UI"/>
        <family val="0"/>
        <charset val="1"/>
      </rPr>
      <t xml:space="preserve">2</t>
    </r>
    <r>
      <rPr>
        <sz val="11"/>
        <color rgb="FF000000"/>
        <rFont val="WenQuanYi Zen Hei"/>
        <family val="2"/>
      </rPr>
      <t xml:space="preserve">〜</t>
    </r>
    <r>
      <rPr>
        <sz val="11"/>
        <color rgb="FF000000"/>
        <rFont val="Meiryo UI"/>
        <family val="0"/>
        <charset val="1"/>
      </rPr>
      <t xml:space="preserve">4</t>
    </r>
    <r>
      <rPr>
        <sz val="11"/>
        <color rgb="FF000000"/>
        <rFont val="WenQuanYi Zen Hei"/>
        <family val="2"/>
      </rPr>
      <t xml:space="preserve">名）</t>
    </r>
  </si>
  <si>
    <r>
      <rPr>
        <sz val="11"/>
        <color rgb="FF000000"/>
        <rFont val="WenQuanYi Zen Hei"/>
        <family val="2"/>
      </rPr>
      <t xml:space="preserve">非財務</t>
    </r>
    <r>
      <rPr>
        <sz val="11"/>
        <color rgb="FF000000"/>
        <rFont val="Meiryo UI"/>
        <family val="0"/>
        <charset val="1"/>
      </rPr>
      <t xml:space="preserve">KPI</t>
    </r>
    <r>
      <rPr>
        <sz val="11"/>
        <color rgb="FF000000"/>
        <rFont val="WenQuanYi Zen Hei"/>
        <family val="2"/>
      </rPr>
      <t xml:space="preserve">（評価全体の</t>
    </r>
    <r>
      <rPr>
        <sz val="11"/>
        <color rgb="FF000000"/>
        <rFont val="Meiryo UI"/>
        <family val="0"/>
        <charset val="1"/>
      </rPr>
      <t xml:space="preserve">30%</t>
    </r>
    <r>
      <rPr>
        <sz val="11"/>
        <color rgb="FF000000"/>
        <rFont val="WenQuanYi Zen Hei"/>
        <family val="2"/>
      </rPr>
      <t xml:space="preserve">）</t>
    </r>
  </si>
  <si>
    <t xml:space="preserve">アソシエイトディレクター／デピュティディレクター</t>
  </si>
  <si>
    <t xml:space="preserve">Associate Director / Deputy Director</t>
  </si>
  <si>
    <t xml:space="preserve">部長補佐・副部長</t>
  </si>
  <si>
    <r>
      <rPr>
        <sz val="11"/>
        <color rgb="FF000000"/>
        <rFont val="Meiryo UI"/>
        <family val="0"/>
        <charset val="1"/>
      </rPr>
      <t xml:space="preserve">A10</t>
    </r>
    <r>
      <rPr>
        <sz val="11"/>
        <color rgb="FF000000"/>
        <rFont val="WenQuanYi Zen Hei"/>
        <family val="2"/>
      </rPr>
      <t xml:space="preserve">〜</t>
    </r>
    <r>
      <rPr>
        <sz val="11"/>
        <color rgb="FF000000"/>
        <rFont val="Meiryo UI"/>
        <family val="0"/>
        <charset val="1"/>
      </rPr>
      <t xml:space="preserve">A14</t>
    </r>
  </si>
  <si>
    <r>
      <rPr>
        <sz val="11"/>
        <color rgb="FF000000"/>
        <rFont val="Meiryo UI"/>
        <family val="0"/>
        <charset val="1"/>
      </rPr>
      <t xml:space="preserve">Manager</t>
    </r>
    <r>
      <rPr>
        <sz val="11"/>
        <color rgb="FF000000"/>
        <rFont val="WenQuanYi Zen Hei"/>
        <family val="2"/>
      </rPr>
      <t xml:space="preserve">〜</t>
    </r>
    <r>
      <rPr>
        <sz val="11"/>
        <color rgb="FF000000"/>
        <rFont val="Meiryo UI"/>
        <family val="0"/>
        <charset val="1"/>
      </rPr>
      <t xml:space="preserve">Senior Manager</t>
    </r>
  </si>
  <si>
    <t xml:space="preserve">バックオフィス全領域の制度・仕組みの設計（複数チーム横断）</t>
  </si>
  <si>
    <r>
      <rPr>
        <sz val="11"/>
        <color rgb="FF000000"/>
        <rFont val="WenQuanYi Zen Hei"/>
        <family val="2"/>
      </rPr>
      <t xml:space="preserve">複数チーム（</t>
    </r>
    <r>
      <rPr>
        <sz val="11"/>
        <color rgb="FF000000"/>
        <rFont val="Meiryo UI"/>
        <family val="0"/>
        <charset val="1"/>
      </rPr>
      <t xml:space="preserve">5</t>
    </r>
    <r>
      <rPr>
        <sz val="11"/>
        <color rgb="FF000000"/>
        <rFont val="WenQuanYi Zen Hei"/>
        <family val="2"/>
      </rPr>
      <t xml:space="preserve">〜</t>
    </r>
    <r>
      <rPr>
        <sz val="11"/>
        <color rgb="FF000000"/>
        <rFont val="Meiryo UI"/>
        <family val="0"/>
        <charset val="1"/>
      </rPr>
      <t xml:space="preserve">10</t>
    </r>
    <r>
      <rPr>
        <sz val="11"/>
        <color rgb="FF000000"/>
        <rFont val="WenQuanYi Zen Hei"/>
        <family val="2"/>
      </rPr>
      <t xml:space="preserve">名）＋本体・外部ベンダー</t>
    </r>
  </si>
  <si>
    <t xml:space="preserve">ディレクター</t>
  </si>
  <si>
    <t xml:space="preserve">Director</t>
  </si>
  <si>
    <t xml:space="preserve">本部長</t>
  </si>
  <si>
    <r>
      <rPr>
        <sz val="11"/>
        <color rgb="FF000000"/>
        <rFont val="Meiryo UI"/>
        <family val="0"/>
        <charset val="1"/>
      </rPr>
      <t xml:space="preserve">A15</t>
    </r>
    <r>
      <rPr>
        <sz val="11"/>
        <color rgb="FF000000"/>
        <rFont val="WenQuanYi Zen Hei"/>
        <family val="2"/>
      </rPr>
      <t xml:space="preserve">〜</t>
    </r>
    <r>
      <rPr>
        <sz val="11"/>
        <color rgb="FF000000"/>
        <rFont val="Meiryo UI"/>
        <family val="0"/>
        <charset val="1"/>
      </rPr>
      <t xml:space="preserve">A20</t>
    </r>
  </si>
  <si>
    <r>
      <rPr>
        <sz val="11"/>
        <color rgb="FF000000"/>
        <rFont val="Meiryo UI"/>
        <family val="0"/>
        <charset val="1"/>
      </rPr>
      <t xml:space="preserve">Corp Planning</t>
    </r>
    <r>
      <rPr>
        <sz val="11"/>
        <color rgb="FF000000"/>
        <rFont val="WenQuanYi Zen Hei"/>
        <family val="2"/>
      </rPr>
      <t xml:space="preserve">全機能＋経営アジェンダ</t>
    </r>
  </si>
  <si>
    <r>
      <rPr>
        <sz val="11"/>
        <color rgb="FF000000"/>
        <rFont val="WenQuanYi Zen Hei"/>
        <family val="2"/>
      </rPr>
      <t xml:space="preserve">機能全体（本体・</t>
    </r>
    <r>
      <rPr>
        <sz val="11"/>
        <color rgb="FF000000"/>
        <rFont val="Meiryo UI"/>
        <family val="0"/>
        <charset val="1"/>
      </rPr>
      <t xml:space="preserve">ICBP</t>
    </r>
    <r>
      <rPr>
        <sz val="11"/>
        <color rgb="FF000000"/>
        <rFont val="WenQuanYi Zen Hei"/>
        <family val="2"/>
      </rPr>
      <t xml:space="preserve">連携含む）</t>
    </r>
  </si>
  <si>
    <r>
      <rPr>
        <sz val="9"/>
        <color rgb="FF595959"/>
        <rFont val="WenQuanYi Zen Hei"/>
        <family val="2"/>
      </rPr>
      <t xml:space="preserve">出所：</t>
    </r>
    <r>
      <rPr>
        <sz val="9"/>
        <color rgb="FF595959"/>
        <rFont val="Meiryo UI"/>
        <family val="0"/>
        <charset val="1"/>
      </rPr>
      <t xml:space="preserve">CorpPlanning_</t>
    </r>
    <r>
      <rPr>
        <sz val="9"/>
        <color rgb="FF595959"/>
        <rFont val="WenQuanYi Zen Hei"/>
        <family val="2"/>
      </rPr>
      <t xml:space="preserve">タイトル別コンピテンシー定義</t>
    </r>
    <r>
      <rPr>
        <sz val="9"/>
        <color rgb="FF595959"/>
        <rFont val="Meiryo UI"/>
        <family val="0"/>
        <charset val="1"/>
      </rPr>
      <t xml:space="preserve">_</t>
    </r>
    <r>
      <rPr>
        <sz val="9"/>
        <color rgb="FF595959"/>
        <rFont val="WenQuanYi Zen Hei"/>
        <family val="2"/>
      </rPr>
      <t xml:space="preserve">ドラフト</t>
    </r>
    <r>
      <rPr>
        <sz val="9"/>
        <color rgb="FF595959"/>
        <rFont val="Meiryo UI"/>
        <family val="0"/>
        <charset val="1"/>
      </rPr>
      <t xml:space="preserve">_v02</t>
    </r>
    <r>
      <rPr>
        <sz val="9"/>
        <color rgb="FF595959"/>
        <rFont val="WenQuanYi Zen Hei"/>
        <family val="2"/>
      </rPr>
      <t xml:space="preserve">（レベル体系）、</t>
    </r>
    <r>
      <rPr>
        <sz val="9"/>
        <color rgb="FF595959"/>
        <rFont val="Meiryo UI"/>
        <family val="0"/>
        <charset val="1"/>
      </rPr>
      <t xml:space="preserve">INTS_HR</t>
    </r>
    <r>
      <rPr>
        <sz val="9"/>
        <color rgb="FF595959"/>
        <rFont val="WenQuanYi Zen Hei"/>
        <family val="2"/>
      </rPr>
      <t xml:space="preserve">キャリアパス設計</t>
    </r>
    <r>
      <rPr>
        <sz val="9"/>
        <color rgb="FF595959"/>
        <rFont val="Meiryo UI"/>
        <family val="0"/>
        <charset val="1"/>
      </rPr>
      <t xml:space="preserve">_v031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Meiryo UI"/>
        <family val="0"/>
        <charset val="1"/>
      </rPr>
      <t xml:space="preserve">08_INTS_HR</t>
    </r>
    <r>
      <rPr>
        <sz val="9"/>
        <color rgb="FF595959"/>
        <rFont val="WenQuanYi Zen Hei"/>
        <family val="2"/>
      </rPr>
      <t xml:space="preserve">タイトル案）。</t>
    </r>
    <r>
      <rPr>
        <sz val="9"/>
        <color rgb="FF595959"/>
        <rFont val="Meiryo UI"/>
        <family val="0"/>
        <charset val="1"/>
      </rPr>
      <t xml:space="preserve">KPI</t>
    </r>
    <r>
      <rPr>
        <sz val="9"/>
        <color rgb="FF595959"/>
        <rFont val="WenQuanYi Zen Hei"/>
        <family val="2"/>
      </rPr>
      <t xml:space="preserve">目標は</t>
    </r>
    <r>
      <rPr>
        <sz val="9"/>
        <color rgb="FF595959"/>
        <rFont val="Meiryo UI"/>
        <family val="0"/>
        <charset val="1"/>
      </rPr>
      <t xml:space="preserve">L4</t>
    </r>
    <r>
      <rPr>
        <sz val="9"/>
        <color rgb="FF595959"/>
        <rFont val="WenQuanYi Zen Hei"/>
        <family val="2"/>
      </rPr>
      <t xml:space="preserve">以上の非財務</t>
    </r>
    <r>
      <rPr>
        <sz val="9"/>
        <color rgb="FF595959"/>
        <rFont val="Meiryo UI"/>
        <family val="0"/>
        <charset val="1"/>
      </rPr>
      <t xml:space="preserve">KPI</t>
    </r>
    <r>
      <rPr>
        <sz val="9"/>
        <color rgb="FF595959"/>
        <rFont val="WenQuanYi Zen Hei"/>
        <family val="2"/>
      </rPr>
      <t xml:space="preserve">のみ（</t>
    </r>
    <r>
      <rPr>
        <sz val="9"/>
        <color rgb="FF595959"/>
        <rFont val="Meiryo UI"/>
        <family val="0"/>
        <charset val="1"/>
      </rPr>
      <t xml:space="preserve">Corp Planning</t>
    </r>
    <r>
      <rPr>
        <sz val="9"/>
        <color rgb="FF595959"/>
        <rFont val="WenQuanYi Zen Hei"/>
        <family val="2"/>
      </rPr>
      <t xml:space="preserve">では財務</t>
    </r>
    <r>
      <rPr>
        <sz val="9"/>
        <color rgb="FF595959"/>
        <rFont val="Meiryo UI"/>
        <family val="0"/>
        <charset val="1"/>
      </rPr>
      <t xml:space="preserve">KPI</t>
    </r>
    <r>
      <rPr>
        <sz val="9"/>
        <color rgb="FF595959"/>
        <rFont val="WenQuanYi Zen Hei"/>
        <family val="2"/>
      </rPr>
      <t xml:space="preserve">は設定しない）。比率はコンピテンシー</t>
    </r>
    <r>
      <rPr>
        <sz val="9"/>
        <color rgb="FF595959"/>
        <rFont val="Meiryo UI"/>
        <family val="0"/>
        <charset val="1"/>
      </rPr>
      <t xml:space="preserve">70%</t>
    </r>
    <r>
      <rPr>
        <sz val="9"/>
        <color rgb="FF595959"/>
        <rFont val="WenQuanYi Zen Hei"/>
        <family val="2"/>
      </rPr>
      <t xml:space="preserve">・非財務</t>
    </r>
    <r>
      <rPr>
        <sz val="9"/>
        <color rgb="FF595959"/>
        <rFont val="Meiryo UI"/>
        <family val="0"/>
        <charset val="1"/>
      </rPr>
      <t xml:space="preserve">KPI 30%</t>
    </r>
    <r>
      <rPr>
        <sz val="9"/>
        <color rgb="FF595959"/>
        <rFont val="WenQuanYi Zen Hei"/>
        <family val="2"/>
      </rPr>
      <t xml:space="preserve">（定義書 </t>
    </r>
    <r>
      <rPr>
        <sz val="9"/>
        <color rgb="FF595959"/>
        <rFont val="Meiryo UI"/>
        <family val="0"/>
        <charset val="1"/>
      </rPr>
      <t xml:space="preserve">Ver.0.14.3</t>
    </r>
    <r>
      <rPr>
        <sz val="9"/>
        <color rgb="FF595959"/>
        <rFont val="WenQuanYi Zen Hei"/>
        <family val="2"/>
      </rPr>
      <t xml:space="preserve">の</t>
    </r>
    <r>
      <rPr>
        <sz val="9"/>
        <color rgb="FF595959"/>
        <rFont val="Meiryo UI"/>
        <family val="0"/>
        <charset val="1"/>
      </rPr>
      <t xml:space="preserve">M</t>
    </r>
    <r>
      <rPr>
        <sz val="9"/>
        <color rgb="FF595959"/>
        <rFont val="WenQuanYi Zen Hei"/>
        <family val="2"/>
      </rPr>
      <t xml:space="preserve">・</t>
    </r>
    <r>
      <rPr>
        <sz val="9"/>
        <color rgb="FF595959"/>
        <rFont val="Meiryo UI"/>
        <family val="0"/>
        <charset val="1"/>
      </rPr>
      <t xml:space="preserve">SM</t>
    </r>
    <r>
      <rPr>
        <sz val="9"/>
        <color rgb="FF595959"/>
        <rFont val="WenQuanYi Zen Hei"/>
        <family val="2"/>
      </rPr>
      <t xml:space="preserve">の比率を</t>
    </r>
    <r>
      <rPr>
        <sz val="9"/>
        <color rgb="FF595959"/>
        <rFont val="Meiryo UI"/>
        <family val="0"/>
        <charset val="1"/>
      </rPr>
      <t xml:space="preserve">L4</t>
    </r>
    <r>
      <rPr>
        <sz val="9"/>
        <color rgb="FF595959"/>
        <rFont val="WenQuanYi Zen Hei"/>
        <family val="2"/>
      </rPr>
      <t xml:space="preserve">〜</t>
    </r>
    <r>
      <rPr>
        <sz val="9"/>
        <color rgb="FF595959"/>
        <rFont val="Meiryo UI"/>
        <family val="0"/>
        <charset val="1"/>
      </rPr>
      <t xml:space="preserve">L6</t>
    </r>
    <r>
      <rPr>
        <sz val="9"/>
        <color rgb="FF595959"/>
        <rFont val="WenQuanYi Zen Hei"/>
        <family val="2"/>
      </rPr>
      <t xml:space="preserve">に適用）。</t>
    </r>
  </si>
  <si>
    <r>
      <rPr>
        <sz val="9"/>
        <color rgb="FF595959"/>
        <rFont val="WenQuanYi Zen Hei"/>
        <family val="2"/>
      </rPr>
      <t xml:space="preserve">出所：</t>
    </r>
    <r>
      <rPr>
        <sz val="9"/>
        <color rgb="FF595959"/>
        <rFont val="Meiryo UI"/>
        <family val="0"/>
        <charset val="1"/>
      </rPr>
      <t xml:space="preserve">CorpPlanning_</t>
    </r>
    <r>
      <rPr>
        <sz val="9"/>
        <color rgb="FF595959"/>
        <rFont val="WenQuanYi Zen Hei"/>
        <family val="2"/>
      </rPr>
      <t xml:space="preserve">タイトル別コンピテンシー定義</t>
    </r>
    <r>
      <rPr>
        <sz val="9"/>
        <color rgb="FF595959"/>
        <rFont val="Meiryo UI"/>
        <family val="0"/>
        <charset val="1"/>
      </rPr>
      <t xml:space="preserve">_</t>
    </r>
    <r>
      <rPr>
        <sz val="9"/>
        <color rgb="FF595959"/>
        <rFont val="WenQuanYi Zen Hei"/>
        <family val="2"/>
      </rPr>
      <t xml:space="preserve">ドラフト</t>
    </r>
    <r>
      <rPr>
        <sz val="9"/>
        <color rgb="FF595959"/>
        <rFont val="Meiryo UI"/>
        <family val="0"/>
        <charset val="1"/>
      </rPr>
      <t xml:space="preserve">_v02</t>
    </r>
    <r>
      <rPr>
        <sz val="9"/>
        <color rgb="FF595959"/>
        <rFont val="WenQuanYi Zen Hei"/>
        <family val="2"/>
      </rPr>
      <t xml:space="preserve">「レベル別の評価ウェイト」。</t>
    </r>
    <r>
      <rPr>
        <sz val="9"/>
        <color rgb="FF595959"/>
        <rFont val="Meiryo UI"/>
        <family val="0"/>
        <charset val="1"/>
      </rPr>
      <t xml:space="preserve">L1</t>
    </r>
    <r>
      <rPr>
        <sz val="9"/>
        <color rgb="FF595959"/>
        <rFont val="WenQuanYi Zen Hei"/>
        <family val="2"/>
      </rPr>
      <t xml:space="preserve">〜</t>
    </r>
    <r>
      <rPr>
        <sz val="9"/>
        <color rgb="FF595959"/>
        <rFont val="Meiryo UI"/>
        <family val="0"/>
        <charset val="1"/>
      </rPr>
      <t xml:space="preserve">L3</t>
    </r>
    <r>
      <rPr>
        <sz val="9"/>
        <color rgb="FF595959"/>
        <rFont val="WenQuanYi Zen Hei"/>
        <family val="2"/>
      </rPr>
      <t xml:space="preserve">は現行</t>
    </r>
    <r>
      <rPr>
        <sz val="9"/>
        <color rgb="FF595959"/>
        <rFont val="Meiryo UI"/>
        <family val="0"/>
        <charset val="1"/>
      </rPr>
      <t xml:space="preserve">Junior</t>
    </r>
    <r>
      <rPr>
        <sz val="9"/>
        <color rgb="FF595959"/>
        <rFont val="WenQuanYi Zen Hei"/>
        <family val="2"/>
      </rPr>
      <t xml:space="preserve">評価シートのウェイトに統一。</t>
    </r>
  </si>
  <si>
    <r>
      <rPr>
        <b val="true"/>
        <sz val="11"/>
        <color rgb="FF000000"/>
        <rFont val="Meiryo UI"/>
        <family val="0"/>
        <charset val="1"/>
      </rPr>
      <t xml:space="preserve">L1 </t>
    </r>
    <r>
      <rPr>
        <b val="true"/>
        <sz val="11"/>
        <color rgb="FF000000"/>
        <rFont val="WenQuanYi Zen Hei"/>
        <family val="2"/>
      </rPr>
      <t xml:space="preserve">スタッフ／サブチーフ</t>
    </r>
  </si>
  <si>
    <r>
      <rPr>
        <b val="true"/>
        <sz val="11"/>
        <color rgb="FF000000"/>
        <rFont val="Meiryo UI"/>
        <family val="0"/>
        <charset val="1"/>
      </rPr>
      <t xml:space="preserve">L2 </t>
    </r>
    <r>
      <rPr>
        <b val="true"/>
        <sz val="11"/>
        <color rgb="FF000000"/>
        <rFont val="WenQuanYi Zen Hei"/>
        <family val="2"/>
      </rPr>
      <t xml:space="preserve">チーフ</t>
    </r>
  </si>
  <si>
    <r>
      <rPr>
        <b val="true"/>
        <sz val="11"/>
        <color rgb="FF000000"/>
        <rFont val="Meiryo UI"/>
        <family val="0"/>
        <charset val="1"/>
      </rPr>
      <t xml:space="preserve">L3 </t>
    </r>
    <r>
      <rPr>
        <b val="true"/>
        <sz val="11"/>
        <color rgb="FF000000"/>
        <rFont val="WenQuanYi Zen Hei"/>
        <family val="2"/>
      </rPr>
      <t xml:space="preserve">アシスタントマネジャー／デピュティマネジャー</t>
    </r>
  </si>
  <si>
    <r>
      <rPr>
        <b val="true"/>
        <sz val="11"/>
        <color rgb="FF000000"/>
        <rFont val="Meiryo UI"/>
        <family val="0"/>
        <charset val="1"/>
      </rPr>
      <t xml:space="preserve">L4 </t>
    </r>
    <r>
      <rPr>
        <b val="true"/>
        <sz val="11"/>
        <color rgb="FF000000"/>
        <rFont val="WenQuanYi Zen Hei"/>
        <family val="2"/>
      </rPr>
      <t xml:space="preserve">マネジャー</t>
    </r>
  </si>
  <si>
    <r>
      <rPr>
        <b val="true"/>
        <sz val="11"/>
        <color rgb="FF000000"/>
        <rFont val="Meiryo UI"/>
        <family val="0"/>
        <charset val="1"/>
      </rPr>
      <t xml:space="preserve">L5 </t>
    </r>
    <r>
      <rPr>
        <b val="true"/>
        <sz val="11"/>
        <color rgb="FF000000"/>
        <rFont val="WenQuanYi Zen Hei"/>
        <family val="2"/>
      </rPr>
      <t xml:space="preserve">アソシエイトディレクター／デピュティディレクター</t>
    </r>
  </si>
  <si>
    <r>
      <rPr>
        <b val="true"/>
        <sz val="11"/>
        <color rgb="FF000000"/>
        <rFont val="Meiryo UI"/>
        <family val="0"/>
        <charset val="1"/>
      </rPr>
      <t xml:space="preserve">L6 </t>
    </r>
    <r>
      <rPr>
        <b val="true"/>
        <sz val="11"/>
        <color rgb="FF000000"/>
        <rFont val="WenQuanYi Zen Hei"/>
        <family val="2"/>
      </rPr>
      <t xml:space="preserve">ディレクター</t>
    </r>
  </si>
  <si>
    <t xml:space="preserve">上長の支援で課題を整理する</t>
  </si>
  <si>
    <t xml:space="preserve">自ら仮説を立てて構造化する</t>
  </si>
  <si>
    <t xml:space="preserve">担当領域の課題を自律的に分析する</t>
  </si>
  <si>
    <t xml:space="preserve">複数領域の論点設定・分析をリードする</t>
  </si>
  <si>
    <t xml:space="preserve">部門横断の課題の打ち手を設計する</t>
  </si>
  <si>
    <t xml:space="preserve">経営アジェンダの論点設定・提言を行う</t>
  </si>
  <si>
    <t xml:space="preserve">支援を受け期日・品質を守る</t>
  </si>
  <si>
    <t xml:space="preserve">逆算で計画し進捗を自発的に共有する</t>
  </si>
  <si>
    <t xml:space="preserve">担当領域の計画と後輩の進捗を管理する</t>
  </si>
  <si>
    <t xml:space="preserve">複数領域の計画・予算・品質を管理する</t>
  </si>
  <si>
    <t xml:space="preserve">全体のリソース配分を最適化する</t>
  </si>
  <si>
    <t xml:space="preserve">経営計画と整合した予算・体制を決定する</t>
  </si>
  <si>
    <t xml:space="preserve">報・連・相を確実に行う</t>
  </si>
  <si>
    <t xml:space="preserve">結論から簡潔に伝える</t>
  </si>
  <si>
    <t xml:space="preserve">多人数の会議をファシリテートする</t>
  </si>
  <si>
    <t xml:space="preserve">事業部門・本体と合意形成する</t>
  </si>
  <si>
    <t xml:space="preserve">対立テーマでも合意形成を主導する</t>
  </si>
  <si>
    <t xml:space="preserve">経営会議で意思決定を主導する</t>
  </si>
  <si>
    <t xml:space="preserve">指示どおり正確に作成する</t>
  </si>
  <si>
    <t xml:space="preserve">要点を先に示す簡潔な文書を作る</t>
  </si>
  <si>
    <t xml:space="preserve">意思決定に使える規程・資料を作る</t>
  </si>
  <si>
    <t xml:space="preserve">チームの成果物の品質に責任を持つ</t>
  </si>
  <si>
    <t xml:space="preserve">経営向けの方針書・制度案を作成する</t>
  </si>
  <si>
    <t xml:space="preserve">全社・グループへ方針を発信する</t>
  </si>
  <si>
    <t xml:space="preserve">－（育成目標で管理）</t>
  </si>
  <si>
    <t xml:space="preserve">主担当領域で市場水準の専門性を持つ</t>
  </si>
  <si>
    <t xml:space="preserve">複数領域に精通し制度を設計する</t>
  </si>
  <si>
    <t xml:space="preserve">バックオフィス全般で経営に提言する</t>
  </si>
  <si>
    <t xml:space="preserve">フィードバックを受け改善する</t>
  </si>
  <si>
    <t xml:space="preserve">自ら成長目標を設定し学ぶ</t>
  </si>
  <si>
    <r>
      <rPr>
        <sz val="11"/>
        <color rgb="FF000000"/>
        <rFont val="Meiryo UI"/>
        <family val="0"/>
        <charset val="1"/>
      </rPr>
      <t xml:space="preserve">L1</t>
    </r>
    <r>
      <rPr>
        <sz val="11"/>
        <color rgb="FF000000"/>
        <rFont val="WenQuanYi Zen Hei"/>
        <family val="2"/>
      </rPr>
      <t xml:space="preserve">〜</t>
    </r>
    <r>
      <rPr>
        <sz val="11"/>
        <color rgb="FF000000"/>
        <rFont val="Meiryo UI"/>
        <family val="0"/>
        <charset val="1"/>
      </rPr>
      <t xml:space="preserve">L2</t>
    </r>
    <r>
      <rPr>
        <sz val="11"/>
        <color rgb="FF000000"/>
        <rFont val="WenQuanYi Zen Hei"/>
        <family val="2"/>
      </rPr>
      <t xml:space="preserve">の</t>
    </r>
    <r>
      <rPr>
        <sz val="11"/>
        <color rgb="FF000000"/>
        <rFont val="Meiryo UI"/>
        <family val="0"/>
        <charset val="1"/>
      </rPr>
      <t xml:space="preserve">OJT</t>
    </r>
    <r>
      <rPr>
        <sz val="11"/>
        <color rgb="FF000000"/>
        <rFont val="WenQuanYi Zen Hei"/>
        <family val="2"/>
      </rPr>
      <t xml:space="preserve">・業務指導を行う</t>
    </r>
  </si>
  <si>
    <t xml:space="preserve">メンバーの育成計画・キャリア支援を行う</t>
  </si>
  <si>
    <t xml:space="preserve">人材要件の定義と採用・育成計画を作る</t>
  </si>
  <si>
    <r>
      <rPr>
        <sz val="11"/>
        <color rgb="FF000000"/>
        <rFont val="Meiryo UI"/>
        <family val="0"/>
        <charset val="1"/>
      </rPr>
      <t xml:space="preserve">Corp Planning</t>
    </r>
    <r>
      <rPr>
        <sz val="11"/>
        <color rgb="FF000000"/>
        <rFont val="WenQuanYi Zen Hei"/>
        <family val="2"/>
      </rPr>
      <t xml:space="preserve">の人材方針を策定する</t>
    </r>
  </si>
  <si>
    <t xml:space="preserve">指示の範囲で協力する</t>
  </si>
  <si>
    <t xml:space="preserve">本体の担当者と自ら連携する</t>
  </si>
  <si>
    <t xml:space="preserve">担当領域の窓口として調整する</t>
  </si>
  <si>
    <t xml:space="preserve">部門責任者と協働環境を整える</t>
  </si>
  <si>
    <r>
      <rPr>
        <sz val="11"/>
        <color rgb="FF000000"/>
        <rFont val="WenQuanYi Zen Hei"/>
        <family val="2"/>
      </rPr>
      <t xml:space="preserve">本体・</t>
    </r>
    <r>
      <rPr>
        <sz val="11"/>
        <color rgb="FF000000"/>
        <rFont val="Meiryo UI"/>
        <family val="0"/>
        <charset val="1"/>
      </rPr>
      <t xml:space="preserve">ICBP</t>
    </r>
    <r>
      <rPr>
        <sz val="11"/>
        <color rgb="FF000000"/>
        <rFont val="WenQuanYi Zen Hei"/>
        <family val="2"/>
      </rPr>
      <t xml:space="preserve">との連携体制を構築する</t>
    </r>
  </si>
  <si>
    <t xml:space="preserve">経営層・グループと信頼関係を構築する</t>
  </si>
  <si>
    <t xml:space="preserve">ルールを理解し実践する</t>
  </si>
  <si>
    <t xml:space="preserve">運用する側として改善を提案する</t>
  </si>
  <si>
    <t xml:space="preserve">担当領域の改善・ナレッジ化を進める</t>
  </si>
  <si>
    <t xml:space="preserve">チームの品質・法令順守に責任を持つ</t>
  </si>
  <si>
    <t xml:space="preserve">品質・リスク管理の仕組みを整備する</t>
  </si>
  <si>
    <t xml:space="preserve">カルチャー・リスク文化を醸成する</t>
  </si>
  <si>
    <t xml:space="preserve">精度・期限を守り完遂する</t>
  </si>
  <si>
    <t xml:space="preserve">上長の確認が不要な精度で作成する</t>
  </si>
  <si>
    <t xml:space="preserve">レポート品質とデータ整合を担保する</t>
  </si>
  <si>
    <r>
      <rPr>
        <sz val="11"/>
        <color rgb="FF000000"/>
        <rFont val="WenQuanYi Zen Hei"/>
        <family val="2"/>
      </rPr>
      <t xml:space="preserve">経営資料の品質・</t>
    </r>
    <r>
      <rPr>
        <sz val="11"/>
        <color rgb="FF000000"/>
        <rFont val="Meiryo UI"/>
        <family val="0"/>
        <charset val="1"/>
      </rPr>
      <t xml:space="preserve">KPI</t>
    </r>
    <r>
      <rPr>
        <sz val="11"/>
        <color rgb="FF000000"/>
        <rFont val="WenQuanYi Zen Hei"/>
        <family val="2"/>
      </rPr>
      <t xml:space="preserve">整合を管理する</t>
    </r>
  </si>
  <si>
    <r>
      <rPr>
        <sz val="11"/>
        <color rgb="FF000000"/>
        <rFont val="Meiryo UI"/>
        <family val="0"/>
        <charset val="1"/>
      </rPr>
      <t xml:space="preserve">KPI</t>
    </r>
    <r>
      <rPr>
        <sz val="11"/>
        <color rgb="FF000000"/>
        <rFont val="WenQuanYi Zen Hei"/>
        <family val="2"/>
      </rPr>
      <t xml:space="preserve">体系・計画プロセスを設計する</t>
    </r>
  </si>
  <si>
    <t xml:space="preserve">経営の意思決定速度に直接貢献する</t>
  </si>
  <si>
    <r>
      <rPr>
        <sz val="9"/>
        <color rgb="FF595959"/>
        <rFont val="WenQuanYi Zen Hei"/>
        <family val="2"/>
      </rPr>
      <t xml:space="preserve">出所：同ドラフト </t>
    </r>
    <r>
      <rPr>
        <sz val="9"/>
        <color rgb="FF595959"/>
        <rFont val="Meiryo UI"/>
        <family val="0"/>
        <charset val="1"/>
      </rPr>
      <t xml:space="preserve">v02</t>
    </r>
    <r>
      <rPr>
        <sz val="9"/>
        <color rgb="FF595959"/>
        <rFont val="WenQuanYi Zen Hei"/>
        <family val="2"/>
      </rPr>
      <t xml:space="preserve">「コンピテンシー定義（期待水準の要約）」。全文は</t>
    </r>
    <r>
      <rPr>
        <sz val="9"/>
        <color rgb="FF595959"/>
        <rFont val="Meiryo UI"/>
        <family val="0"/>
        <charset val="1"/>
      </rPr>
      <t xml:space="preserve">Excel</t>
    </r>
    <r>
      <rPr>
        <sz val="9"/>
        <color rgb="FF595959"/>
        <rFont val="WenQuanYi Zen Hei"/>
        <family val="2"/>
      </rPr>
      <t xml:space="preserve">の「</t>
    </r>
    <r>
      <rPr>
        <sz val="9"/>
        <color rgb="FF595959"/>
        <rFont val="Meiryo UI"/>
        <family val="0"/>
        <charset val="1"/>
      </rPr>
      <t xml:space="preserve">02_</t>
    </r>
    <r>
      <rPr>
        <sz val="9"/>
        <color rgb="FF595959"/>
        <rFont val="WenQuanYi Zen Hei"/>
        <family val="2"/>
      </rPr>
      <t xml:space="preserve">コンピテンシー定義」を参照。</t>
    </r>
  </si>
  <si>
    <t xml:space="preserve">専門領域</t>
  </si>
  <si>
    <t xml:space="preserve">タイトルに付ける機能名（仮）</t>
  </si>
  <si>
    <t xml:space="preserve">HR</t>
  </si>
  <si>
    <t xml:space="preserve">入退社・勤怠・社保の手続</t>
  </si>
  <si>
    <t xml:space="preserve">労務運用・評価の事務局</t>
  </si>
  <si>
    <t xml:space="preserve">運用設計・規程改定の起案</t>
  </si>
  <si>
    <t xml:space="preserve">評価・採用・育成の統括</t>
  </si>
  <si>
    <t xml:space="preserve">要員計画・人事制度の設計</t>
  </si>
  <si>
    <t xml:space="preserve">人事戦略・報酬原資の決定</t>
  </si>
  <si>
    <t xml:space="preserve">総務</t>
  </si>
  <si>
    <t xml:space="preserve">GA</t>
  </si>
  <si>
    <t xml:space="preserve">備品・施設の依頼を処理</t>
  </si>
  <si>
    <t xml:space="preserve">総務運用・社内イベント運営</t>
  </si>
  <si>
    <t xml:space="preserve">総務プロセス設計・ベンダー管理</t>
  </si>
  <si>
    <t xml:space="preserve">総務・規程・監査対応の統括</t>
  </si>
  <si>
    <r>
      <rPr>
        <sz val="11"/>
        <color rgb="FF000000"/>
        <rFont val="Meiryo UI"/>
        <family val="0"/>
        <charset val="1"/>
      </rPr>
      <t xml:space="preserve">BCP</t>
    </r>
    <r>
      <rPr>
        <sz val="11"/>
        <color rgb="FF000000"/>
        <rFont val="WenQuanYi Zen Hei"/>
        <family val="2"/>
      </rPr>
      <t xml:space="preserve">・リスク管理方針の策定</t>
    </r>
  </si>
  <si>
    <t xml:space="preserve">リスク・コンプラ統制の責任者</t>
  </si>
  <si>
    <t xml:space="preserve">経理・財務</t>
  </si>
  <si>
    <t xml:space="preserve">FIN</t>
  </si>
  <si>
    <t xml:space="preserve">経費精算・請求書のチェック</t>
  </si>
  <si>
    <t xml:space="preserve">計数集計・本体経理との照合</t>
  </si>
  <si>
    <t xml:space="preserve">月次決算・予実分析のリード</t>
  </si>
  <si>
    <t xml:space="preserve">予算・予実・採算管理の統括</t>
  </si>
  <si>
    <t xml:space="preserve">中期財務・人件費計画の策定</t>
  </si>
  <si>
    <t xml:space="preserve">財務戦略・投資判断</t>
  </si>
  <si>
    <t xml:space="preserve">広報・ブランディング</t>
  </si>
  <si>
    <t xml:space="preserve">PR</t>
  </si>
  <si>
    <r>
      <rPr>
        <sz val="11"/>
        <color rgb="FF000000"/>
        <rFont val="WenQuanYi Zen Hei"/>
        <family val="2"/>
      </rPr>
      <t xml:space="preserve">社内報・</t>
    </r>
    <r>
      <rPr>
        <sz val="11"/>
        <color rgb="FF000000"/>
        <rFont val="Meiryo UI"/>
        <family val="0"/>
        <charset val="1"/>
      </rPr>
      <t xml:space="preserve">SNS</t>
    </r>
    <r>
      <rPr>
        <sz val="11"/>
        <color rgb="FF000000"/>
        <rFont val="WenQuanYi Zen Hei"/>
        <family val="2"/>
      </rPr>
      <t xml:space="preserve">・</t>
    </r>
    <r>
      <rPr>
        <sz val="11"/>
        <color rgb="FF000000"/>
        <rFont val="Meiryo UI"/>
        <family val="0"/>
        <charset val="1"/>
      </rPr>
      <t xml:space="preserve">HP</t>
    </r>
    <r>
      <rPr>
        <sz val="11"/>
        <color rgb="FF000000"/>
        <rFont val="WenQuanYi Zen Hei"/>
        <family val="2"/>
      </rPr>
      <t xml:space="preserve">の更新</t>
    </r>
  </si>
  <si>
    <t xml:space="preserve">社内・採用広報の企画作成</t>
  </si>
  <si>
    <r>
      <rPr>
        <sz val="11"/>
        <color rgb="FF000000"/>
        <rFont val="WenQuanYi Zen Hei"/>
        <family val="2"/>
      </rPr>
      <t xml:space="preserve">広報計画・</t>
    </r>
    <r>
      <rPr>
        <sz val="11"/>
        <color rgb="FF000000"/>
        <rFont val="Meiryo UI"/>
        <family val="0"/>
        <charset val="1"/>
      </rPr>
      <t xml:space="preserve">Corporate Site</t>
    </r>
    <r>
      <rPr>
        <sz val="11"/>
        <color rgb="FF000000"/>
        <rFont val="WenQuanYi Zen Hei"/>
        <family val="2"/>
      </rPr>
      <t xml:space="preserve">管理</t>
    </r>
  </si>
  <si>
    <t xml:space="preserve">採用ブランディング・発信の統括</t>
  </si>
  <si>
    <t xml:space="preserve">ブランド戦略の策定</t>
  </si>
  <si>
    <t xml:space="preserve">ブランド・評判の責任者</t>
  </si>
  <si>
    <r>
      <rPr>
        <sz val="11"/>
        <color rgb="FF000000"/>
        <rFont val="Meiryo UI"/>
        <family val="0"/>
        <charset val="1"/>
      </rPr>
      <t xml:space="preserve">IT</t>
    </r>
    <r>
      <rPr>
        <sz val="11"/>
        <color rgb="FF000000"/>
        <rFont val="WenQuanYi Zen Hei"/>
        <family val="2"/>
      </rPr>
      <t xml:space="preserve">・情報セキュリティ</t>
    </r>
  </si>
  <si>
    <t xml:space="preserve">IT</t>
  </si>
  <si>
    <r>
      <rPr>
        <sz val="11"/>
        <color rgb="FF000000"/>
        <rFont val="WenQuanYi Zen Hei"/>
        <family val="2"/>
      </rPr>
      <t xml:space="preserve">アカウント・</t>
    </r>
    <r>
      <rPr>
        <sz val="11"/>
        <color rgb="FF000000"/>
        <rFont val="Meiryo UI"/>
        <family val="0"/>
        <charset val="1"/>
      </rPr>
      <t xml:space="preserve">PC</t>
    </r>
    <r>
      <rPr>
        <sz val="11"/>
        <color rgb="FF000000"/>
        <rFont val="WenQuanYi Zen Hei"/>
        <family val="2"/>
      </rPr>
      <t xml:space="preserve">手配・一次対応</t>
    </r>
  </si>
  <si>
    <r>
      <rPr>
        <sz val="11"/>
        <color rgb="FF000000"/>
        <rFont val="Meiryo UI"/>
        <family val="0"/>
        <charset val="1"/>
      </rPr>
      <t xml:space="preserve">SaaS</t>
    </r>
    <r>
      <rPr>
        <sz val="11"/>
        <color rgb="FF000000"/>
        <rFont val="WenQuanYi Zen Hei"/>
        <family val="2"/>
      </rPr>
      <t xml:space="preserve">・</t>
    </r>
    <r>
      <rPr>
        <sz val="11"/>
        <color rgb="FF000000"/>
        <rFont val="Meiryo UI"/>
        <family val="0"/>
        <charset val="1"/>
      </rPr>
      <t xml:space="preserve">AI</t>
    </r>
    <r>
      <rPr>
        <sz val="11"/>
        <color rgb="FF000000"/>
        <rFont val="WenQuanYi Zen Hei"/>
        <family val="2"/>
      </rPr>
      <t xml:space="preserve">ツールの運用管理</t>
    </r>
  </si>
  <si>
    <r>
      <rPr>
        <sz val="11"/>
        <color rgb="FF000000"/>
        <rFont val="Meiryo UI"/>
        <family val="0"/>
        <charset val="1"/>
      </rPr>
      <t xml:space="preserve">AI</t>
    </r>
    <r>
      <rPr>
        <sz val="11"/>
        <color rgb="FF000000"/>
        <rFont val="WenQuanYi Zen Hei"/>
        <family val="2"/>
      </rPr>
      <t xml:space="preserve">活用の企画・セキュリティ運用</t>
    </r>
  </si>
  <si>
    <r>
      <rPr>
        <sz val="11"/>
        <color rgb="FF000000"/>
        <rFont val="WenQuanYi Zen Hei"/>
        <family val="2"/>
      </rPr>
      <t xml:space="preserve">社内</t>
    </r>
    <r>
      <rPr>
        <sz val="11"/>
        <color rgb="FF000000"/>
        <rFont val="Meiryo UI"/>
        <family val="0"/>
        <charset val="1"/>
      </rPr>
      <t xml:space="preserve">IT</t>
    </r>
    <r>
      <rPr>
        <sz val="11"/>
        <color rgb="FF000000"/>
        <rFont val="WenQuanYi Zen Hei"/>
        <family val="2"/>
      </rPr>
      <t xml:space="preserve">・セキュリティ・</t>
    </r>
    <r>
      <rPr>
        <sz val="11"/>
        <color rgb="FF000000"/>
        <rFont val="Meiryo UI"/>
        <family val="0"/>
        <charset val="1"/>
      </rPr>
      <t xml:space="preserve">DX</t>
    </r>
    <r>
      <rPr>
        <sz val="11"/>
        <color rgb="FF000000"/>
        <rFont val="WenQuanYi Zen Hei"/>
        <family val="2"/>
      </rPr>
      <t xml:space="preserve">の統括</t>
    </r>
  </si>
  <si>
    <r>
      <rPr>
        <sz val="11"/>
        <color rgb="FF000000"/>
        <rFont val="Meiryo UI"/>
        <family val="0"/>
        <charset val="1"/>
      </rPr>
      <t xml:space="preserve">IT</t>
    </r>
    <r>
      <rPr>
        <sz val="11"/>
        <color rgb="FF000000"/>
        <rFont val="WenQuanYi Zen Hei"/>
        <family val="2"/>
      </rPr>
      <t xml:space="preserve">・</t>
    </r>
    <r>
      <rPr>
        <sz val="11"/>
        <color rgb="FF000000"/>
        <rFont val="Meiryo UI"/>
        <family val="0"/>
        <charset val="1"/>
      </rPr>
      <t xml:space="preserve">DX</t>
    </r>
    <r>
      <rPr>
        <sz val="11"/>
        <color rgb="FF000000"/>
        <rFont val="WenQuanYi Zen Hei"/>
        <family val="2"/>
      </rPr>
      <t xml:space="preserve">戦略とセキュリティ方針</t>
    </r>
  </si>
  <si>
    <r>
      <rPr>
        <sz val="11"/>
        <color rgb="FF000000"/>
        <rFont val="Meiryo UI"/>
        <family val="0"/>
        <charset val="1"/>
      </rPr>
      <t xml:space="preserve">IT</t>
    </r>
    <r>
      <rPr>
        <sz val="11"/>
        <color rgb="FF000000"/>
        <rFont val="WenQuanYi Zen Hei"/>
        <family val="2"/>
      </rPr>
      <t xml:space="preserve">ガバナンスの責任者</t>
    </r>
  </si>
  <si>
    <t xml:space="preserve">CP</t>
  </si>
  <si>
    <t xml:space="preserve">経営情報の収集・入力</t>
  </si>
  <si>
    <r>
      <rPr>
        <sz val="11"/>
        <color rgb="FF000000"/>
        <rFont val="Meiryo UI"/>
        <family val="0"/>
        <charset val="1"/>
      </rPr>
      <t xml:space="preserve">MBR</t>
    </r>
    <r>
      <rPr>
        <sz val="11"/>
        <color rgb="FF000000"/>
        <rFont val="WenQuanYi Zen Hei"/>
        <family val="2"/>
      </rPr>
      <t xml:space="preserve">の集計・資料作成</t>
    </r>
  </si>
  <si>
    <r>
      <rPr>
        <sz val="11"/>
        <color rgb="FF000000"/>
        <rFont val="Meiryo UI"/>
        <family val="0"/>
        <charset val="1"/>
      </rPr>
      <t xml:space="preserve">KPI</t>
    </r>
    <r>
      <rPr>
        <sz val="11"/>
        <color rgb="FF000000"/>
        <rFont val="WenQuanYi Zen Hei"/>
        <family val="2"/>
      </rPr>
      <t xml:space="preserve">分析・会議資料の品質担保</t>
    </r>
  </si>
  <si>
    <r>
      <rPr>
        <sz val="11"/>
        <color rgb="FF000000"/>
        <rFont val="Meiryo UI"/>
        <family val="0"/>
        <charset val="1"/>
      </rPr>
      <t xml:space="preserve">MBR</t>
    </r>
    <r>
      <rPr>
        <sz val="11"/>
        <color rgb="FF000000"/>
        <rFont val="WenQuanYi Zen Hei"/>
        <family val="2"/>
      </rPr>
      <t xml:space="preserve">運営・予実管理の統括</t>
    </r>
  </si>
  <si>
    <r>
      <rPr>
        <sz val="11"/>
        <color rgb="FF000000"/>
        <rFont val="WenQuanYi Zen Hei"/>
        <family val="2"/>
      </rPr>
      <t xml:space="preserve">中期計画・</t>
    </r>
    <r>
      <rPr>
        <sz val="11"/>
        <color rgb="FF000000"/>
        <rFont val="Meiryo UI"/>
        <family val="0"/>
        <charset val="1"/>
      </rPr>
      <t xml:space="preserve">KPI</t>
    </r>
    <r>
      <rPr>
        <sz val="11"/>
        <color rgb="FF000000"/>
        <rFont val="WenQuanYi Zen Hei"/>
        <family val="2"/>
      </rPr>
      <t xml:space="preserve">・会議体の設計</t>
    </r>
  </si>
  <si>
    <t xml:space="preserve">経営計画・経営会議を主導</t>
  </si>
  <si>
    <r>
      <rPr>
        <sz val="9"/>
        <color rgb="FF595959"/>
        <rFont val="WenQuanYi Zen Hei"/>
        <family val="2"/>
      </rPr>
      <t xml:space="preserve">出所：同ドラフト </t>
    </r>
    <r>
      <rPr>
        <sz val="9"/>
        <color rgb="FF595959"/>
        <rFont val="Meiryo UI"/>
        <family val="0"/>
        <charset val="1"/>
      </rPr>
      <t xml:space="preserve">v02</t>
    </r>
    <r>
      <rPr>
        <sz val="9"/>
        <color rgb="FF595959"/>
        <rFont val="WenQuanYi Zen Hei"/>
        <family val="2"/>
      </rPr>
      <t xml:space="preserve">「専門領域スキル」。機能名は</t>
    </r>
    <r>
      <rPr>
        <sz val="9"/>
        <color rgb="FF595959"/>
        <rFont val="Meiryo UI"/>
        <family val="0"/>
        <charset val="1"/>
      </rPr>
      <t xml:space="preserve">HR</t>
    </r>
    <r>
      <rPr>
        <sz val="9"/>
        <color rgb="FF595959"/>
        <rFont val="WenQuanYi Zen Hei"/>
        <family val="2"/>
      </rPr>
      <t xml:space="preserve">・</t>
    </r>
    <r>
      <rPr>
        <sz val="9"/>
        <color rgb="FF595959"/>
        <rFont val="Meiryo UI"/>
        <family val="0"/>
        <charset val="1"/>
      </rPr>
      <t xml:space="preserve">FIN</t>
    </r>
    <r>
      <rPr>
        <sz val="9"/>
        <color rgb="FF595959"/>
        <rFont val="WenQuanYi Zen Hei"/>
        <family val="2"/>
      </rPr>
      <t xml:space="preserve">以外は仮置き（</t>
    </r>
    <r>
      <rPr>
        <sz val="9"/>
        <color rgb="FF595959"/>
        <rFont val="Meiryo UI"/>
        <family val="0"/>
        <charset val="1"/>
      </rPr>
      <t xml:space="preserve">GA</t>
    </r>
    <r>
      <rPr>
        <sz val="9"/>
        <color rgb="FF595959"/>
        <rFont val="WenQuanYi Zen Hei"/>
        <family val="2"/>
      </rPr>
      <t xml:space="preserve">・</t>
    </r>
    <r>
      <rPr>
        <sz val="9"/>
        <color rgb="FF595959"/>
        <rFont val="Meiryo UI"/>
        <family val="0"/>
        <charset val="1"/>
      </rPr>
      <t xml:space="preserve">PR</t>
    </r>
    <r>
      <rPr>
        <sz val="9"/>
        <color rgb="FF595959"/>
        <rFont val="WenQuanYi Zen Hei"/>
        <family val="2"/>
      </rPr>
      <t xml:space="preserve">・</t>
    </r>
    <r>
      <rPr>
        <sz val="9"/>
        <color rgb="FF595959"/>
        <rFont val="Meiryo UI"/>
        <family val="0"/>
        <charset val="1"/>
      </rPr>
      <t xml:space="preserve">IT</t>
    </r>
    <r>
      <rPr>
        <sz val="9"/>
        <color rgb="FF595959"/>
        <rFont val="WenQuanYi Zen Hei"/>
        <family val="2"/>
      </rPr>
      <t xml:space="preserve">・</t>
    </r>
    <r>
      <rPr>
        <sz val="9"/>
        <color rgb="FF595959"/>
        <rFont val="Meiryo UI"/>
        <family val="0"/>
        <charset val="1"/>
      </rPr>
      <t xml:space="preserve">CP</t>
    </r>
    <r>
      <rPr>
        <sz val="9"/>
        <color rgb="FF595959"/>
        <rFont val="WenQuanYi Zen Hei"/>
        <family val="2"/>
      </rPr>
      <t xml:space="preserve">）。</t>
    </r>
  </si>
  <si>
    <r>
      <rPr>
        <b val="true"/>
        <sz val="11"/>
        <color rgb="FF000000"/>
        <rFont val="Meiryo UI"/>
        <family val="0"/>
        <charset val="1"/>
      </rPr>
      <t xml:space="preserve">KPI</t>
    </r>
    <r>
      <rPr>
        <b val="true"/>
        <sz val="11"/>
        <color rgb="FF000000"/>
        <rFont val="WenQuanYi Zen Hei"/>
        <family val="2"/>
      </rPr>
      <t xml:space="preserve">区分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</si>
</sst>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/mm/dd"/>
    <numFmt numFmtId="166" formatCode="0%;\-0%;&quot;対象外&quot;"/>
    <numFmt numFmtId="167" formatCode="0%"/>
    <numFmt numFmtId="168" formatCode="0%;\-0%;\－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Meiryo UI"/>
      <family val="0"/>
      <charset val="1"/>
    </font>
    <font>
      <b val="true"/>
      <sz val="14"/>
      <color rgb="FF000000"/>
      <name val="WenQuanYi Zen Hei"/>
      <family val="2"/>
    </font>
    <font>
      <b val="true"/>
      <sz val="11"/>
      <color rgb="FF000000"/>
      <name val="WenQuanYi Zen Hei"/>
      <family val="2"/>
    </font>
    <font>
      <sz val="11"/>
      <color rgb="FF000000"/>
      <name val="WenQuanYi Zen Hei"/>
      <family val="2"/>
    </font>
    <font>
      <sz val="11"/>
      <color rgb="FF000000"/>
      <name val="Meiryo UI"/>
      <family val="0"/>
      <charset val="1"/>
    </font>
    <font>
      <b val="true"/>
      <sz val="11"/>
      <color rgb="FF000000"/>
      <name val="Meiryo UI"/>
      <family val="0"/>
      <charset val="1"/>
    </font>
    <font>
      <sz val="10"/>
      <color rgb="FF000000"/>
      <name val="Meiryo UI"/>
      <family val="0"/>
      <charset val="1"/>
    </font>
    <font>
      <sz val="10"/>
      <color rgb="FF000000"/>
      <name val="WenQuanYi Zen Hei"/>
      <family val="2"/>
    </font>
    <font>
      <sz val="9"/>
      <color rgb="FF595959"/>
      <name val="WenQuanYi Zen Hei"/>
      <family val="2"/>
    </font>
    <font>
      <sz val="9"/>
      <color rgb="FF595959"/>
      <name val="Meiryo UI"/>
      <family val="0"/>
      <charset val="1"/>
    </font>
    <font>
      <b val="true"/>
      <sz val="12"/>
      <color rgb="FFFFFFFF"/>
      <name val="WenQuanYi Zen Hei"/>
      <family val="2"/>
    </font>
    <font>
      <b val="true"/>
      <sz val="12"/>
      <color rgb="FFFFFFFF"/>
      <name val="Meiryo UI"/>
      <family val="0"/>
      <charset val="1"/>
    </font>
    <font>
      <sz val="11"/>
      <color rgb="FFC00000"/>
      <name val="Meiryo UI"/>
      <family val="0"/>
      <charset val="1"/>
    </font>
    <font>
      <sz val="11"/>
      <color rgb="FF595959"/>
      <name val="WenQuanYi Zen Hei"/>
      <family val="2"/>
    </font>
    <font>
      <sz val="10"/>
      <name val="Arial"/>
      <family val="2"/>
    </font>
    <font>
      <sz val="10"/>
      <name val="WenQuanYi Zen Hei"/>
      <family val="2"/>
    </font>
    <font>
      <b val="true"/>
      <sz val="12"/>
      <color rgb="FF000000"/>
      <name val="WenQuanYi Zen Hei"/>
      <family val="2"/>
    </font>
    <font>
      <b val="true"/>
      <sz val="12"/>
      <color rgb="FF000000"/>
      <name val="Meiryo UI"/>
      <family val="0"/>
      <charset val="1"/>
    </font>
    <font>
      <sz val="11"/>
      <color theme="1"/>
      <name val="WenQuanYi Zen Hei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EDEDED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D9E1F2"/>
      </patternFill>
    </fill>
    <fill>
      <patternFill patternType="solid">
        <fgColor rgb="FF1F3864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100"/>
  </cols>
  <sheetData>
    <row r="1" customFormat="false" ht="19.4" hidden="false" customHeight="false" outlineLevel="0" collapsed="false">
      <c r="B1" s="1" t="s">
        <v>0</v>
      </c>
    </row>
    <row r="3" customFormat="false" ht="48" hidden="false" customHeight="true" outlineLevel="0" collapsed="false">
      <c r="B3" s="2" t="s">
        <v>1</v>
      </c>
      <c r="C3" s="3" t="s">
        <v>2</v>
      </c>
    </row>
    <row r="4" customFormat="false" ht="48" hidden="false" customHeight="true" outlineLevel="0" collapsed="false">
      <c r="B4" s="2" t="s">
        <v>3</v>
      </c>
      <c r="C4" s="3" t="s">
        <v>4</v>
      </c>
    </row>
    <row r="5" customFormat="false" ht="48" hidden="false" customHeight="true" outlineLevel="0" collapsed="false">
      <c r="B5" s="2" t="s">
        <v>5</v>
      </c>
      <c r="C5" s="3" t="s">
        <v>6</v>
      </c>
    </row>
    <row r="6" customFormat="false" ht="48" hidden="false" customHeight="true" outlineLevel="0" collapsed="false">
      <c r="B6" s="2" t="s">
        <v>7</v>
      </c>
      <c r="C6" s="3" t="s">
        <v>8</v>
      </c>
    </row>
    <row r="7" customFormat="false" ht="48" hidden="false" customHeight="true" outlineLevel="0" collapsed="false">
      <c r="B7" s="2" t="s">
        <v>9</v>
      </c>
      <c r="C7" s="3" t="s">
        <v>10</v>
      </c>
    </row>
    <row r="8" customFormat="false" ht="48" hidden="false" customHeight="true" outlineLevel="0" collapsed="false">
      <c r="B8" s="2" t="s">
        <v>11</v>
      </c>
      <c r="C8" s="3" t="s">
        <v>12</v>
      </c>
    </row>
    <row r="9" customFormat="false" ht="48" hidden="false" customHeight="true" outlineLevel="0" collapsed="false">
      <c r="B9" s="2" t="s">
        <v>13</v>
      </c>
      <c r="C9" s="3" t="s">
        <v>14</v>
      </c>
    </row>
    <row r="10" customFormat="false" ht="48" hidden="false" customHeight="true" outlineLevel="0" collapsed="false">
      <c r="B10" s="2" t="s">
        <v>15</v>
      </c>
      <c r="C10" s="3" t="s">
        <v>16</v>
      </c>
    </row>
    <row r="11" customFormat="false" ht="48" hidden="false" customHeight="true" outlineLevel="0" collapsed="false">
      <c r="B11" s="2" t="s">
        <v>17</v>
      </c>
      <c r="C11" s="4" t="s">
        <v>18</v>
      </c>
    </row>
    <row r="12" customFormat="false" ht="48" hidden="false" customHeight="true" outlineLevel="0" collapsed="false">
      <c r="B12" s="2" t="s">
        <v>19</v>
      </c>
      <c r="C12" s="3" t="s">
        <v>20</v>
      </c>
    </row>
    <row r="13" customFormat="false" ht="48" hidden="false" customHeight="true" outlineLevel="0" collapsed="false">
      <c r="B13" s="2" t="s">
        <v>21</v>
      </c>
      <c r="C13" s="4" t="s">
        <v>22</v>
      </c>
    </row>
    <row r="14" customFormat="false" ht="48" hidden="false" customHeight="true" outlineLevel="0" collapsed="false">
      <c r="B14" s="2" t="s">
        <v>23</v>
      </c>
      <c r="C14" s="3" t="s">
        <v>24</v>
      </c>
    </row>
    <row r="15" customFormat="false" ht="48" hidden="false" customHeight="true" outlineLevel="0" collapsed="false">
      <c r="B15" s="2" t="s">
        <v>25</v>
      </c>
      <c r="C15" s="3" t="s">
        <v>26</v>
      </c>
    </row>
    <row r="17" customFormat="false" ht="15" hidden="false" customHeight="false" outlineLevel="0" collapsed="false">
      <c r="B17" s="5" t="s">
        <v>27</v>
      </c>
    </row>
    <row r="18" customFormat="false" ht="15" hidden="false" customHeight="false" outlineLevel="0" collapsed="false">
      <c r="B18" s="6" t="s">
        <v>28</v>
      </c>
      <c r="C18" s="3" t="s">
        <v>29</v>
      </c>
    </row>
    <row r="19" customFormat="false" ht="15" hidden="false" customHeight="false" outlineLevel="0" collapsed="false">
      <c r="B19" s="7" t="s">
        <v>30</v>
      </c>
      <c r="C19" s="3" t="s">
        <v>31</v>
      </c>
    </row>
    <row r="21" customFormat="false" ht="26.85" hidden="false" customHeight="false" outlineLevel="0" collapsed="false">
      <c r="B21" s="5" t="s">
        <v>32</v>
      </c>
      <c r="C21" s="8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7" min="5" style="0" width="38"/>
  </cols>
  <sheetData>
    <row r="1" customFormat="false" ht="19.4" hidden="false" customHeight="false" outlineLevel="0" collapsed="false">
      <c r="A1" s="1" t="s">
        <v>34</v>
      </c>
    </row>
    <row r="2" customFormat="false" ht="15" hidden="false" customHeight="false" outlineLevel="0" collapsed="false">
      <c r="A2" s="9" t="s">
        <v>35</v>
      </c>
    </row>
    <row r="4" customFormat="false" ht="21.75" hidden="false" customHeight="true" outlineLevel="0" collapsed="false">
      <c r="A4" s="10" t="s">
        <v>36</v>
      </c>
      <c r="B4" s="10"/>
      <c r="C4" s="10"/>
      <c r="D4" s="10"/>
      <c r="E4" s="10"/>
      <c r="F4" s="10"/>
      <c r="G4" s="10"/>
    </row>
    <row r="5" customFormat="false" ht="15" hidden="false" customHeight="false" outlineLevel="0" collapsed="false">
      <c r="B5" s="2" t="s">
        <v>37</v>
      </c>
      <c r="C5" s="11"/>
      <c r="D5" s="11"/>
      <c r="E5" s="11"/>
    </row>
    <row r="6" customFormat="false" ht="15" hidden="false" customHeight="false" outlineLevel="0" collapsed="false">
      <c r="B6" s="2" t="s">
        <v>38</v>
      </c>
      <c r="C6" s="11"/>
      <c r="D6" s="11"/>
      <c r="E6" s="11"/>
      <c r="F6" s="12" t="str">
        <f aca="false">IF($C$6="","","評価の比率：コンピテンシー "&amp;TEXT(INDEX(マスタ!$J$3:$J$8,MATCH($C$6,マスタ!$A$3:$A$8,0)),"0%")&amp;"／KPI目標："&amp;INDEX(マスタ!$I$3:$I$8,MATCH($C$6,マスタ!$A$3:$A$8,0)))</f>
        <v/>
      </c>
      <c r="G6" s="12"/>
    </row>
    <row r="7" customFormat="false" ht="15" hidden="false" customHeight="false" outlineLevel="0" collapsed="false">
      <c r="B7" s="2" t="s">
        <v>39</v>
      </c>
      <c r="C7" s="13" t="str">
        <f aca="false">IF(OR($C$6="",$C$9=""),"",INDEX(マスタ!$B$36:$B$41,MATCH($C$9,マスタ!$A$36:$A$41,0))&amp;INDEX(マスタ!$B$3:$B$8,MATCH($C$6,マスタ!$A$3:$A$8,0))&amp;"（INTS："&amp;INDEX(マスタ!$F$3:$F$8,MATCH($C$6,マスタ!$A$3:$A$8,0))&amp;"）")</f>
        <v/>
      </c>
      <c r="D7" s="13"/>
      <c r="E7" s="13"/>
    </row>
    <row r="8" customFormat="false" ht="15" hidden="false" customHeight="false" outlineLevel="0" collapsed="false">
      <c r="B8" s="2" t="s">
        <v>40</v>
      </c>
      <c r="C8" s="13" t="str">
        <f aca="false">IF($C$6="","",INDEX(マスタ!$D$3:$D$8,MATCH($C$6,マスタ!$A$3:$A$8,0))&amp;"（"&amp;INDEX(マスタ!$E$3:$E$8,MATCH($C$6,マスタ!$A$3:$A$8,0))&amp;"）")</f>
        <v/>
      </c>
      <c r="D8" s="13"/>
      <c r="E8" s="13"/>
    </row>
    <row r="9" customFormat="false" ht="15" hidden="false" customHeight="false" outlineLevel="0" collapsed="false">
      <c r="B9" s="2" t="s">
        <v>41</v>
      </c>
      <c r="C9" s="11"/>
      <c r="D9" s="11"/>
      <c r="E9" s="11"/>
    </row>
    <row r="10" customFormat="false" ht="15" hidden="false" customHeight="false" outlineLevel="0" collapsed="false">
      <c r="B10" s="2" t="s">
        <v>42</v>
      </c>
      <c r="C10" s="13" t="str">
        <f aca="false">IF($C$6="","",INDEX(マスタ!$G$3:$G$8,MATCH($C$6,マスタ!$A$3:$A$8,0))&amp;"／指導："&amp;INDEX(マスタ!$H$3:$H$8,MATCH($C$6,マスタ!$A$3:$A$8,0)))</f>
        <v/>
      </c>
      <c r="D10" s="13"/>
      <c r="E10" s="13"/>
    </row>
    <row r="11" customFormat="false" ht="15" hidden="false" customHeight="false" outlineLevel="0" collapsed="false">
      <c r="B11" s="2" t="s">
        <v>43</v>
      </c>
      <c r="C11" s="11"/>
      <c r="D11" s="11"/>
      <c r="E11" s="11"/>
    </row>
    <row r="12" customFormat="false" ht="15" hidden="false" customHeight="false" outlineLevel="0" collapsed="false">
      <c r="B12" s="2" t="s">
        <v>44</v>
      </c>
      <c r="C12" s="11"/>
      <c r="D12" s="11"/>
      <c r="E12" s="11"/>
    </row>
    <row r="13" customFormat="false" ht="15" hidden="false" customHeight="false" outlineLevel="0" collapsed="false">
      <c r="B13" s="2" t="s">
        <v>45</v>
      </c>
      <c r="C13" s="13" t="str">
        <f aca="false">IF($C$12="","",INDEX(マスタ!$B$3:$B$8,MATCH($C$12,マスタ!$A$3:$A$8,0))&amp;"（INTS："&amp;INDEX(マスタ!$F$3:$F$8,MATCH($C$12,マスタ!$A$3:$A$8,0))&amp;"）")</f>
        <v/>
      </c>
      <c r="D13" s="13"/>
      <c r="E13" s="13"/>
    </row>
    <row r="14" customFormat="false" ht="15" hidden="false" customHeight="false" outlineLevel="0" collapsed="false">
      <c r="B14" s="2" t="s">
        <v>46</v>
      </c>
      <c r="C14" s="14"/>
      <c r="D14" s="14"/>
      <c r="E14" s="14"/>
    </row>
    <row r="15" customFormat="false" ht="15" hidden="false" customHeight="true" outlineLevel="0" collapsed="false">
      <c r="B15" s="2" t="s">
        <v>47</v>
      </c>
      <c r="C15" s="15" t="s">
        <v>48</v>
      </c>
      <c r="D15" s="15"/>
      <c r="E15" s="15"/>
    </row>
    <row r="17" customFormat="false" ht="21.75" hidden="false" customHeight="true" outlineLevel="0" collapsed="false">
      <c r="A17" s="10" t="s">
        <v>49</v>
      </c>
      <c r="B17" s="10"/>
      <c r="C17" s="10"/>
      <c r="D17" s="10"/>
      <c r="E17" s="10"/>
      <c r="F17" s="10"/>
      <c r="G17" s="10"/>
    </row>
    <row r="18" customFormat="false" ht="60" hidden="false" customHeight="true" outlineLevel="0" collapsed="false">
      <c r="B18" s="2" t="s">
        <v>50</v>
      </c>
      <c r="C18" s="16"/>
      <c r="D18" s="16"/>
      <c r="E18" s="16"/>
      <c r="F18" s="16"/>
      <c r="G18" s="16"/>
    </row>
    <row r="19" customFormat="false" ht="15" hidden="false" customHeight="false" outlineLevel="0" collapsed="false">
      <c r="A19" s="17" t="s">
        <v>51</v>
      </c>
      <c r="B19" s="17" t="s">
        <v>52</v>
      </c>
      <c r="C19" s="17" t="s">
        <v>53</v>
      </c>
      <c r="D19" s="17" t="s">
        <v>54</v>
      </c>
      <c r="E19" s="17" t="s">
        <v>55</v>
      </c>
      <c r="F19" s="17" t="s">
        <v>56</v>
      </c>
      <c r="G19" s="17" t="s">
        <v>57</v>
      </c>
    </row>
    <row r="20" customFormat="false" ht="75" hidden="false" customHeight="true" outlineLevel="0" collapsed="false">
      <c r="A20" s="17" t="s">
        <v>58</v>
      </c>
      <c r="B20" s="18" t="s">
        <v>59</v>
      </c>
      <c r="C20" s="19" t="str">
        <f aca="false">IF($C$6="","",INDEX(マスタ!$B$12:$G$20,MATCH($B20,マスタ!$A$12:$A$20,0),MATCH($C$6,マスタ!$A$3:$A$8,0)))</f>
        <v/>
      </c>
      <c r="D20" s="7" t="str">
        <f aca="false">IF($C$6="","",INDEX(マスタ!$B$24:$G$32,MATCH($B20,マスタ!$A$24:$A$32,0),MATCH($C$6,マスタ!$A$3:$A$8,0)))</f>
        <v/>
      </c>
      <c r="E20" s="6"/>
      <c r="F20" s="6"/>
      <c r="G20" s="6"/>
    </row>
    <row r="21" customFormat="false" ht="75" hidden="false" customHeight="true" outlineLevel="0" collapsed="false">
      <c r="A21" s="17"/>
      <c r="B21" s="18" t="s">
        <v>60</v>
      </c>
      <c r="C21" s="19" t="str">
        <f aca="false">IF($C$6="","",INDEX(マスタ!$B$12:$G$20,MATCH($B21,マスタ!$A$12:$A$20,0),MATCH($C$6,マスタ!$A$3:$A$8,0)))</f>
        <v/>
      </c>
      <c r="D21" s="7" t="str">
        <f aca="false">IF($C$6="","",INDEX(マスタ!$B$24:$G$32,MATCH($B21,マスタ!$A$24:$A$32,0),MATCH($C$6,マスタ!$A$3:$A$8,0)))</f>
        <v/>
      </c>
      <c r="E21" s="6"/>
      <c r="F21" s="6"/>
      <c r="G21" s="6"/>
    </row>
    <row r="22" customFormat="false" ht="75" hidden="false" customHeight="true" outlineLevel="0" collapsed="false">
      <c r="A22" s="17"/>
      <c r="B22" s="18" t="s">
        <v>61</v>
      </c>
      <c r="C22" s="19" t="str">
        <f aca="false">IF($C$6="","",INDEX(マスタ!$B$12:$G$20,MATCH($B22,マスタ!$A$12:$A$20,0),MATCH($C$6,マスタ!$A$3:$A$8,0)))</f>
        <v/>
      </c>
      <c r="D22" s="7" t="str">
        <f aca="false">IF($C$6="","",INDEX(マスタ!$B$24:$G$32,MATCH($B22,マスタ!$A$24:$A$32,0),MATCH($C$6,マスタ!$A$3:$A$8,0)))</f>
        <v/>
      </c>
      <c r="E22" s="6"/>
      <c r="F22" s="6"/>
      <c r="G22" s="6"/>
    </row>
    <row r="23" customFormat="false" ht="75" hidden="false" customHeight="true" outlineLevel="0" collapsed="false">
      <c r="A23" s="17"/>
      <c r="B23" s="18" t="s">
        <v>62</v>
      </c>
      <c r="C23" s="19" t="str">
        <f aca="false">IF($C$6="","",INDEX(マスタ!$B$12:$G$20,MATCH($B23,マスタ!$A$12:$A$20,0),MATCH($C$6,マスタ!$A$3:$A$8,0)))</f>
        <v/>
      </c>
      <c r="D23" s="7" t="str">
        <f aca="false">IF($C$6="","",INDEX(マスタ!$B$24:$G$32,MATCH($B23,マスタ!$A$24:$A$32,0),MATCH($C$6,マスタ!$A$3:$A$8,0)))</f>
        <v/>
      </c>
      <c r="E23" s="6"/>
      <c r="F23" s="6"/>
      <c r="G23" s="6"/>
    </row>
    <row r="24" customFormat="false" ht="75" hidden="false" customHeight="true" outlineLevel="0" collapsed="false">
      <c r="A24" s="17"/>
      <c r="B24" s="18" t="s">
        <v>63</v>
      </c>
      <c r="C24" s="19" t="str">
        <f aca="false">IF($C$6="","",INDEX(マスタ!$B$12:$G$20,MATCH($B24,マスタ!$A$12:$A$20,0),MATCH($C$6,マスタ!$A$3:$A$8,0)))</f>
        <v/>
      </c>
      <c r="D24" s="7" t="str">
        <f aca="false">IF($C$6="","",INDEX(マスタ!$B$24:$G$32,MATCH($B24,マスタ!$A$24:$A$32,0),MATCH($C$6,マスタ!$A$3:$A$8,0)))</f>
        <v/>
      </c>
      <c r="E24" s="6"/>
      <c r="F24" s="6"/>
      <c r="G24" s="6"/>
    </row>
    <row r="25" customFormat="false" ht="75" hidden="false" customHeight="true" outlineLevel="0" collapsed="false">
      <c r="A25" s="17" t="s">
        <v>64</v>
      </c>
      <c r="B25" s="18" t="s">
        <v>65</v>
      </c>
      <c r="C25" s="19" t="str">
        <f aca="false">IF($C$6="","",INDEX(マスタ!$B$12:$G$20,MATCH($B25,マスタ!$A$12:$A$20,0),MATCH($C$6,マスタ!$A$3:$A$8,0)))</f>
        <v/>
      </c>
      <c r="D25" s="7" t="str">
        <f aca="false">IF($C$6="","",INDEX(マスタ!$B$24:$G$32,MATCH($B25,マスタ!$A$24:$A$32,0),MATCH($C$6,マスタ!$A$3:$A$8,0)))</f>
        <v/>
      </c>
      <c r="E25" s="6"/>
      <c r="F25" s="6"/>
      <c r="G25" s="6"/>
    </row>
    <row r="26" customFormat="false" ht="75" hidden="false" customHeight="true" outlineLevel="0" collapsed="false">
      <c r="A26" s="17"/>
      <c r="B26" s="18" t="s">
        <v>66</v>
      </c>
      <c r="C26" s="19" t="str">
        <f aca="false">IF($C$6="","",INDEX(マスタ!$B$12:$G$20,MATCH($B26,マスタ!$A$12:$A$20,0),MATCH($C$6,マスタ!$A$3:$A$8,0)))</f>
        <v/>
      </c>
      <c r="D26" s="7" t="str">
        <f aca="false">IF($C$6="","",INDEX(マスタ!$B$24:$G$32,MATCH($B26,マスタ!$A$24:$A$32,0),MATCH($C$6,マスタ!$A$3:$A$8,0)))</f>
        <v/>
      </c>
      <c r="E26" s="6"/>
      <c r="F26" s="6"/>
      <c r="G26" s="6"/>
    </row>
    <row r="27" customFormat="false" ht="75" hidden="false" customHeight="true" outlineLevel="0" collapsed="false">
      <c r="A27" s="17" t="s">
        <v>67</v>
      </c>
      <c r="B27" s="18" t="s">
        <v>68</v>
      </c>
      <c r="C27" s="19" t="str">
        <f aca="false">IF($C$6="","",INDEX(マスタ!$B$12:$G$20,MATCH($B27,マスタ!$A$12:$A$20,0),MATCH($C$6,マスタ!$A$3:$A$8,0)))</f>
        <v/>
      </c>
      <c r="D27" s="7" t="str">
        <f aca="false">IF($C$6="","",INDEX(マスタ!$B$24:$G$32,MATCH($B27,マスタ!$A$24:$A$32,0),MATCH($C$6,マスタ!$A$3:$A$8,0)))</f>
        <v/>
      </c>
      <c r="E27" s="6"/>
      <c r="F27" s="6"/>
      <c r="G27" s="6"/>
    </row>
    <row r="28" customFormat="false" ht="75" hidden="false" customHeight="true" outlineLevel="0" collapsed="false">
      <c r="A28" s="17"/>
      <c r="B28" s="18" t="s">
        <v>69</v>
      </c>
      <c r="C28" s="19" t="str">
        <f aca="false">IF($C$6="","",INDEX(マスタ!$B$12:$G$20,MATCH($B28,マスタ!$A$12:$A$20,0),MATCH($C$6,マスタ!$A$3:$A$8,0)))</f>
        <v/>
      </c>
      <c r="D28" s="7" t="str">
        <f aca="false">IF($C$6="","",INDEX(マスタ!$B$24:$G$32,MATCH($B28,マスタ!$A$24:$A$32,0),MATCH($C$6,マスタ!$A$3:$A$8,0)))</f>
        <v/>
      </c>
      <c r="E28" s="6"/>
      <c r="F28" s="6"/>
      <c r="G28" s="6"/>
    </row>
    <row r="29" customFormat="false" ht="15" hidden="false" customHeight="false" outlineLevel="0" collapsed="false">
      <c r="B29" s="18" t="s">
        <v>70</v>
      </c>
      <c r="C29" s="20" t="n">
        <f aca="false">SUM(C20:C28)</f>
        <v>0</v>
      </c>
      <c r="D29" s="21" t="str">
        <f aca="false">IF($C$6="","",IF(ROUND(C29,4)=1,"","ウェイト合計が100%になっていません"))</f>
        <v/>
      </c>
    </row>
    <row r="30" customFormat="false" ht="75" hidden="false" customHeight="true" outlineLevel="0" collapsed="false">
      <c r="A30" s="22"/>
      <c r="B30" s="2" t="s">
        <v>71</v>
      </c>
      <c r="C30" s="7"/>
      <c r="D30" s="7" t="str">
        <f aca="false">IF(OR($C$6="",$C$9=""),"","現レベル："&amp;INDEX(マスタ!$C$36:$H$41,MATCH($C$9,マスタ!$A$36:$A$41,0),MATCH($C$6,マスタ!$A$3:$A$8,0))&amp;CHAR(10)&amp;"次のレベル："&amp;INDEX(マスタ!$C$36:$H$41,MATCH($C$9,マスタ!$A$36:$A$41,0),MIN(MATCH($C$6,マスタ!$A$3:$A$8,0)+1,6)))</f>
        <v/>
      </c>
      <c r="E30" s="6"/>
      <c r="F30" s="6"/>
      <c r="G30" s="6"/>
    </row>
    <row r="31" customFormat="false" ht="75" hidden="false" customHeight="true" outlineLevel="0" collapsed="false">
      <c r="A31" s="22"/>
      <c r="B31" s="2" t="s">
        <v>72</v>
      </c>
      <c r="C31" s="7"/>
      <c r="D31" s="23" t="s">
        <v>73</v>
      </c>
      <c r="E31" s="6"/>
      <c r="F31" s="6"/>
      <c r="G31" s="6"/>
    </row>
    <row r="33" customFormat="false" ht="21.75" hidden="false" customHeight="true" outlineLevel="0" collapsed="false">
      <c r="A33" s="10" t="s">
        <v>74</v>
      </c>
      <c r="B33" s="10"/>
      <c r="C33" s="10"/>
      <c r="D33" s="10"/>
      <c r="E33" s="10"/>
      <c r="F33" s="10"/>
      <c r="G33" s="10"/>
    </row>
    <row r="34" customFormat="false" ht="15" hidden="false" customHeight="false" outlineLevel="0" collapsed="false">
      <c r="B34" s="2" t="s">
        <v>75</v>
      </c>
      <c r="C34" s="24"/>
      <c r="D34" s="25" t="str">
        <f aca="false">IF($C$34="","",INDEX(マスタ!$B$3:$B$8,MATCH($C$34,マスタ!$A$3:$A$8,0))&amp;"（INTS："&amp;INDEX(マスタ!$F$3:$F$8,MATCH($C$34,マスタ!$A$3:$A$8,0))&amp;"）／"&amp;INDEX(マスタ!$D$3:$D$8,MATCH($C$34,マスタ!$A$3:$A$8,0)))</f>
        <v/>
      </c>
      <c r="E34" s="25"/>
      <c r="F34" s="25"/>
      <c r="G34" s="25"/>
    </row>
    <row r="35" customFormat="false" ht="60" hidden="false" customHeight="true" outlineLevel="0" collapsed="false">
      <c r="B35" s="2" t="s">
        <v>50</v>
      </c>
      <c r="C35" s="16"/>
      <c r="D35" s="16"/>
      <c r="E35" s="16"/>
      <c r="F35" s="16"/>
      <c r="G35" s="16"/>
    </row>
    <row r="36" customFormat="false" ht="28.35" hidden="false" customHeight="true" outlineLevel="0" collapsed="false">
      <c r="A36" s="17" t="s">
        <v>51</v>
      </c>
      <c r="B36" s="17" t="s">
        <v>52</v>
      </c>
      <c r="C36" s="26"/>
      <c r="D36" s="17" t="s">
        <v>76</v>
      </c>
      <c r="E36" s="27" t="s">
        <v>77</v>
      </c>
      <c r="F36" s="27"/>
      <c r="G36" s="27"/>
    </row>
    <row r="37" customFormat="false" ht="36" hidden="false" customHeight="true" outlineLevel="0" collapsed="false">
      <c r="A37" s="17" t="s">
        <v>58</v>
      </c>
      <c r="B37" s="18" t="s">
        <v>59</v>
      </c>
      <c r="C37" s="7"/>
      <c r="D37" s="7" t="str">
        <f aca="false">IF($C$34="","",INDEX(マスタ!$B$24:$G$32,MATCH($B37,マスタ!$A$24:$A$32,0),MATCH($C$34,マスタ!$A$3:$A$8,0)))</f>
        <v/>
      </c>
      <c r="E37" s="16"/>
      <c r="F37" s="16"/>
      <c r="G37" s="16"/>
    </row>
    <row r="38" customFormat="false" ht="36" hidden="false" customHeight="true" outlineLevel="0" collapsed="false">
      <c r="A38" s="17"/>
      <c r="B38" s="18" t="s">
        <v>60</v>
      </c>
      <c r="C38" s="7"/>
      <c r="D38" s="7" t="str">
        <f aca="false">IF($C$34="","",INDEX(マスタ!$B$24:$G$32,MATCH($B38,マスタ!$A$24:$A$32,0),MATCH($C$34,マスタ!$A$3:$A$8,0)))</f>
        <v/>
      </c>
      <c r="E38" s="16"/>
      <c r="F38" s="16"/>
      <c r="G38" s="16"/>
    </row>
    <row r="39" customFormat="false" ht="36" hidden="false" customHeight="true" outlineLevel="0" collapsed="false">
      <c r="A39" s="17"/>
      <c r="B39" s="18" t="s">
        <v>61</v>
      </c>
      <c r="C39" s="7"/>
      <c r="D39" s="7" t="str">
        <f aca="false">IF($C$34="","",INDEX(マスタ!$B$24:$G$32,MATCH($B39,マスタ!$A$24:$A$32,0),MATCH($C$34,マスタ!$A$3:$A$8,0)))</f>
        <v/>
      </c>
      <c r="E39" s="16"/>
      <c r="F39" s="16"/>
      <c r="G39" s="16"/>
    </row>
    <row r="40" customFormat="false" ht="36" hidden="false" customHeight="true" outlineLevel="0" collapsed="false">
      <c r="A40" s="17"/>
      <c r="B40" s="18" t="s">
        <v>62</v>
      </c>
      <c r="C40" s="7"/>
      <c r="D40" s="7" t="str">
        <f aca="false">IF($C$34="","",INDEX(マスタ!$B$24:$G$32,MATCH($B40,マスタ!$A$24:$A$32,0),MATCH($C$34,マスタ!$A$3:$A$8,0)))</f>
        <v/>
      </c>
      <c r="E40" s="16"/>
      <c r="F40" s="16"/>
      <c r="G40" s="16"/>
    </row>
    <row r="41" customFormat="false" ht="36" hidden="false" customHeight="true" outlineLevel="0" collapsed="false">
      <c r="A41" s="17"/>
      <c r="B41" s="18" t="s">
        <v>63</v>
      </c>
      <c r="C41" s="7"/>
      <c r="D41" s="7" t="str">
        <f aca="false">IF($C$34="","",INDEX(マスタ!$B$24:$G$32,MATCH($B41,マスタ!$A$24:$A$32,0),MATCH($C$34,マスタ!$A$3:$A$8,0)))</f>
        <v/>
      </c>
      <c r="E41" s="16"/>
      <c r="F41" s="16"/>
      <c r="G41" s="16"/>
    </row>
    <row r="42" customFormat="false" ht="36" hidden="false" customHeight="true" outlineLevel="0" collapsed="false">
      <c r="A42" s="17" t="s">
        <v>64</v>
      </c>
      <c r="B42" s="18" t="s">
        <v>65</v>
      </c>
      <c r="C42" s="7"/>
      <c r="D42" s="7" t="str">
        <f aca="false">IF($C$34="","",INDEX(マスタ!$B$24:$G$32,MATCH($B42,マスタ!$A$24:$A$32,0),MATCH($C$34,マスタ!$A$3:$A$8,0)))</f>
        <v/>
      </c>
      <c r="E42" s="16"/>
      <c r="F42" s="16"/>
      <c r="G42" s="16"/>
    </row>
    <row r="43" customFormat="false" ht="36" hidden="false" customHeight="true" outlineLevel="0" collapsed="false">
      <c r="A43" s="17"/>
      <c r="B43" s="18" t="s">
        <v>66</v>
      </c>
      <c r="C43" s="7"/>
      <c r="D43" s="7" t="str">
        <f aca="false">IF($C$34="","",INDEX(マスタ!$B$24:$G$32,MATCH($B43,マスタ!$A$24:$A$32,0),MATCH($C$34,マスタ!$A$3:$A$8,0)))</f>
        <v/>
      </c>
      <c r="E43" s="16"/>
      <c r="F43" s="16"/>
      <c r="G43" s="16"/>
    </row>
    <row r="44" customFormat="false" ht="36" hidden="false" customHeight="true" outlineLevel="0" collapsed="false">
      <c r="A44" s="17" t="s">
        <v>67</v>
      </c>
      <c r="B44" s="18" t="s">
        <v>68</v>
      </c>
      <c r="C44" s="7"/>
      <c r="D44" s="7" t="str">
        <f aca="false">IF($C$34="","",INDEX(マスタ!$B$24:$G$32,MATCH($B44,マスタ!$A$24:$A$32,0),MATCH($C$34,マスタ!$A$3:$A$8,0)))</f>
        <v/>
      </c>
      <c r="E44" s="16"/>
      <c r="F44" s="16"/>
      <c r="G44" s="16"/>
    </row>
    <row r="45" customFormat="false" ht="36" hidden="false" customHeight="true" outlineLevel="0" collapsed="false">
      <c r="A45" s="17"/>
      <c r="B45" s="18" t="s">
        <v>69</v>
      </c>
      <c r="C45" s="7"/>
      <c r="D45" s="7" t="str">
        <f aca="false">IF($C$34="","",INDEX(マスタ!$B$24:$G$32,MATCH($B45,マスタ!$A$24:$A$32,0),MATCH($C$34,マスタ!$A$3:$A$8,0)))</f>
        <v/>
      </c>
      <c r="E45" s="16"/>
      <c r="F45" s="16"/>
      <c r="G45" s="16"/>
    </row>
    <row r="46" customFormat="false" ht="36" hidden="false" customHeight="true" outlineLevel="0" collapsed="false">
      <c r="A46" s="26"/>
      <c r="B46" s="2" t="s">
        <v>78</v>
      </c>
      <c r="C46" s="7"/>
      <c r="D46" s="23" t="s">
        <v>79</v>
      </c>
      <c r="E46" s="16"/>
      <c r="F46" s="16"/>
      <c r="G46" s="16"/>
    </row>
    <row r="48" customFormat="false" ht="21.75" hidden="false" customHeight="true" outlineLevel="0" collapsed="false">
      <c r="A48" s="28" t="s">
        <v>80</v>
      </c>
      <c r="B48" s="28"/>
      <c r="C48" s="28"/>
      <c r="D48" s="28"/>
      <c r="E48" s="28"/>
      <c r="F48" s="28"/>
      <c r="G48" s="28"/>
    </row>
    <row r="49" customFormat="false" ht="15" hidden="false" customHeight="false" outlineLevel="0" collapsed="false">
      <c r="B49" s="2" t="s">
        <v>81</v>
      </c>
      <c r="C49" s="25" t="str">
        <f aca="false">IF($C$6="","",INDEX(マスタ!$I$3:$I$8,MATCH($C$6,マスタ!$A$3:$A$8,0)))</f>
        <v/>
      </c>
      <c r="D49" s="25"/>
      <c r="E49" s="25"/>
      <c r="F49" s="25"/>
      <c r="G49" s="25"/>
    </row>
    <row r="50" customFormat="false" ht="15" hidden="false" customHeight="false" outlineLevel="0" collapsed="false">
      <c r="A50" s="17" t="s">
        <v>82</v>
      </c>
      <c r="B50" s="27" t="s">
        <v>83</v>
      </c>
      <c r="C50" s="17" t="s">
        <v>53</v>
      </c>
      <c r="D50" s="17" t="s">
        <v>84</v>
      </c>
      <c r="E50" s="17" t="s">
        <v>85</v>
      </c>
      <c r="F50" s="17" t="s">
        <v>86</v>
      </c>
      <c r="G50" s="17" t="s">
        <v>87</v>
      </c>
    </row>
    <row r="51" customFormat="false" ht="36" hidden="false" customHeight="true" outlineLevel="0" collapsed="false">
      <c r="A51" s="24"/>
      <c r="B51" s="6"/>
      <c r="C51" s="29"/>
      <c r="D51" s="6"/>
      <c r="E51" s="6"/>
      <c r="F51" s="6"/>
      <c r="G51" s="6"/>
    </row>
    <row r="52" customFormat="false" ht="36" hidden="false" customHeight="true" outlineLevel="0" collapsed="false">
      <c r="A52" s="24"/>
      <c r="B52" s="6"/>
      <c r="C52" s="29"/>
      <c r="D52" s="6"/>
      <c r="E52" s="6"/>
      <c r="F52" s="6"/>
      <c r="G52" s="6"/>
    </row>
    <row r="53" customFormat="false" ht="36" hidden="false" customHeight="true" outlineLevel="0" collapsed="false">
      <c r="A53" s="24"/>
      <c r="B53" s="6"/>
      <c r="C53" s="29"/>
      <c r="D53" s="6"/>
      <c r="E53" s="6"/>
      <c r="F53" s="6"/>
      <c r="G53" s="6"/>
    </row>
    <row r="54" customFormat="false" ht="36" hidden="false" customHeight="true" outlineLevel="0" collapsed="false">
      <c r="A54" s="24"/>
      <c r="B54" s="6"/>
      <c r="C54" s="29"/>
      <c r="D54" s="6"/>
      <c r="E54" s="6"/>
      <c r="F54" s="6"/>
      <c r="G54" s="6"/>
    </row>
    <row r="55" customFormat="false" ht="15" hidden="false" customHeight="false" outlineLevel="0" collapsed="false">
      <c r="B55" s="18" t="s">
        <v>70</v>
      </c>
      <c r="C55" s="20" t="n">
        <f aca="false">SUM(C51:C54)</f>
        <v>0</v>
      </c>
      <c r="D55" s="30" t="str">
        <f aca="false">IF($C$6="","",IF(MATCH($C$6,マスタ!$A$3:$A$8,0)&lt;4,"",IF(ROUND(C55,4)=1,"","KPIのウェイト合計が100%になっていません")))</f>
        <v/>
      </c>
      <c r="E55" s="30"/>
      <c r="F55" s="30"/>
      <c r="G55" s="30"/>
    </row>
    <row r="57" customFormat="false" ht="21.75" hidden="false" customHeight="true" outlineLevel="0" collapsed="false">
      <c r="A57" s="10" t="s">
        <v>88</v>
      </c>
      <c r="B57" s="10"/>
      <c r="C57" s="10"/>
      <c r="D57" s="10"/>
      <c r="E57" s="10"/>
      <c r="F57" s="10"/>
      <c r="G57" s="10"/>
    </row>
    <row r="58" customFormat="false" ht="60" hidden="false" customHeight="true" outlineLevel="0" collapsed="false">
      <c r="B58" s="2" t="s">
        <v>89</v>
      </c>
      <c r="C58" s="16"/>
      <c r="D58" s="16"/>
      <c r="E58" s="16"/>
      <c r="F58" s="16"/>
      <c r="G58" s="16"/>
    </row>
    <row r="59" customFormat="false" ht="60" hidden="false" customHeight="true" outlineLevel="0" collapsed="false">
      <c r="B59" s="2" t="s">
        <v>90</v>
      </c>
      <c r="C59" s="16"/>
      <c r="D59" s="16"/>
      <c r="E59" s="16"/>
      <c r="F59" s="16"/>
      <c r="G59" s="16"/>
    </row>
    <row r="61" customFormat="false" ht="21.75" hidden="false" customHeight="true" outlineLevel="0" collapsed="false">
      <c r="A61" s="10" t="s">
        <v>91</v>
      </c>
      <c r="B61" s="10"/>
      <c r="C61" s="10"/>
      <c r="D61" s="10"/>
      <c r="E61" s="10"/>
      <c r="F61" s="10"/>
      <c r="G61" s="10"/>
    </row>
    <row r="62" customFormat="false" ht="60" hidden="false" customHeight="true" outlineLevel="0" collapsed="false">
      <c r="B62" s="2" t="s">
        <v>92</v>
      </c>
      <c r="C62" s="16"/>
      <c r="D62" s="16"/>
      <c r="E62" s="16"/>
      <c r="F62" s="16"/>
      <c r="G62" s="16"/>
    </row>
    <row r="63" customFormat="false" ht="15" hidden="false" customHeight="false" outlineLevel="0" collapsed="false">
      <c r="B63" s="2" t="s">
        <v>93</v>
      </c>
      <c r="C63" s="31"/>
      <c r="D63" s="31"/>
    </row>
  </sheetData>
  <mergeCells count="45">
    <mergeCell ref="A4:G4"/>
    <mergeCell ref="C5:E5"/>
    <mergeCell ref="C6:E6"/>
    <mergeCell ref="F6:G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A17:G17"/>
    <mergeCell ref="C18:G18"/>
    <mergeCell ref="A20:A24"/>
    <mergeCell ref="A25:A26"/>
    <mergeCell ref="A27:A28"/>
    <mergeCell ref="A30:A31"/>
    <mergeCell ref="A33:G33"/>
    <mergeCell ref="D34:G34"/>
    <mergeCell ref="C35:G35"/>
    <mergeCell ref="E36:G36"/>
    <mergeCell ref="A37:A41"/>
    <mergeCell ref="E37:G37"/>
    <mergeCell ref="E38:G38"/>
    <mergeCell ref="E39:G39"/>
    <mergeCell ref="E40:G40"/>
    <mergeCell ref="E41:G41"/>
    <mergeCell ref="A42:A43"/>
    <mergeCell ref="E42:G42"/>
    <mergeCell ref="E43:G43"/>
    <mergeCell ref="A44:A45"/>
    <mergeCell ref="E44:G44"/>
    <mergeCell ref="E45:G45"/>
    <mergeCell ref="E46:G46"/>
    <mergeCell ref="A48:G48"/>
    <mergeCell ref="C49:G49"/>
    <mergeCell ref="D55:G55"/>
    <mergeCell ref="A57:G57"/>
    <mergeCell ref="C58:G58"/>
    <mergeCell ref="C59:G59"/>
    <mergeCell ref="A61:G61"/>
    <mergeCell ref="C62:G62"/>
    <mergeCell ref="C63:D63"/>
  </mergeCells>
  <dataValidations count="3">
    <dataValidation allowBlank="true" errorStyle="stop" operator="between" showDropDown="false" showErrorMessage="false" showInputMessage="false" sqref="C6 C12 C34" type="list">
      <formula1>マスタ!$A$3:$A$8</formula1>
      <formula2>0</formula2>
    </dataValidation>
    <dataValidation allowBlank="true" errorStyle="stop" operator="between" showDropDown="false" showErrorMessage="false" showInputMessage="false" sqref="C9" type="list">
      <formula1>マスタ!$A$36:$A$41</formula1>
      <formula2>0</formula2>
    </dataValidation>
    <dataValidation allowBlank="true" errorStyle="stop" operator="between" showDropDown="false" showErrorMessage="false" showInputMessage="false" sqref="A51:A54" type="list">
      <formula1>マスタ!$A$45:$A$45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7" min="5" style="0" width="38"/>
  </cols>
  <sheetData>
    <row r="1" customFormat="false" ht="19.4" hidden="false" customHeight="false" outlineLevel="0" collapsed="false">
      <c r="A1" s="1" t="s">
        <v>94</v>
      </c>
    </row>
    <row r="2" customFormat="false" ht="15" hidden="false" customHeight="false" outlineLevel="0" collapsed="false">
      <c r="A2" s="9" t="s">
        <v>35</v>
      </c>
    </row>
    <row r="4" customFormat="false" ht="21.75" hidden="false" customHeight="true" outlineLevel="0" collapsed="false">
      <c r="A4" s="10" t="s">
        <v>36</v>
      </c>
      <c r="B4" s="10"/>
      <c r="C4" s="10"/>
      <c r="D4" s="10"/>
      <c r="E4" s="10"/>
      <c r="F4" s="10"/>
      <c r="G4" s="10"/>
    </row>
    <row r="5" customFormat="false" ht="15" hidden="false" customHeight="true" outlineLevel="0" collapsed="false">
      <c r="B5" s="2" t="s">
        <v>37</v>
      </c>
      <c r="C5" s="15" t="s">
        <v>95</v>
      </c>
      <c r="D5" s="15"/>
      <c r="E5" s="15"/>
    </row>
    <row r="6" customFormat="false" ht="15" hidden="false" customHeight="true" outlineLevel="0" collapsed="false">
      <c r="B6" s="2" t="s">
        <v>38</v>
      </c>
      <c r="C6" s="11" t="s">
        <v>96</v>
      </c>
      <c r="D6" s="11"/>
      <c r="E6" s="11"/>
      <c r="F6" s="12" t="str">
        <f aca="false">IF($C$6="","","評価の比率：コンピテンシー "&amp;TEXT(INDEX(マスタ!$J$3:$J$8,MATCH($C$6,マスタ!$A$3:$A$8,0)),"0%")&amp;"／KPI目標："&amp;INDEX(マスタ!$I$3:$I$8,MATCH($C$6,マスタ!$A$3:$A$8,0)))</f>
        <v>評価の比率：コンピテンシー 100%／KPI目標：対象外</v>
      </c>
      <c r="G6" s="12"/>
    </row>
    <row r="7" customFormat="false" ht="15" hidden="false" customHeight="false" outlineLevel="0" collapsed="false">
      <c r="B7" s="2" t="s">
        <v>39</v>
      </c>
      <c r="C7" s="13" t="str">
        <f aca="false">IF(OR($C$6="",$C$9=""),"",INDEX(マスタ!$B$36:$B$41,MATCH($C$9,マスタ!$A$36:$A$41,0))&amp;INDEX(マスタ!$B$3:$B$8,MATCH($C$6,マスタ!$A$3:$A$8,0))&amp;"（INTS："&amp;INDEX(マスタ!$F$3:$F$8,MATCH($C$6,マスタ!$A$3:$A$8,0))&amp;"）")</f>
        <v>HRスタッフ／サブチーフ（INTS：Associate）</v>
      </c>
      <c r="D7" s="13"/>
      <c r="E7" s="13"/>
    </row>
    <row r="8" customFormat="false" ht="15" hidden="false" customHeight="false" outlineLevel="0" collapsed="false">
      <c r="B8" s="2" t="s">
        <v>40</v>
      </c>
      <c r="C8" s="13" t="str">
        <f aca="false">IF($C$6="","",INDEX(マスタ!$D$3:$D$8,MATCH($C$6,マスタ!$A$3:$A$8,0))&amp;"（"&amp;INDEX(マスタ!$E$3:$E$8,MATCH($C$6,マスタ!$A$3:$A$8,0))&amp;"）")</f>
        <v>社員・副主任（A01〜A03）</v>
      </c>
      <c r="D8" s="13"/>
      <c r="E8" s="13"/>
    </row>
    <row r="9" customFormat="false" ht="15" hidden="false" customHeight="true" outlineLevel="0" collapsed="false">
      <c r="B9" s="2" t="s">
        <v>41</v>
      </c>
      <c r="C9" s="15" t="s">
        <v>97</v>
      </c>
      <c r="D9" s="15"/>
      <c r="E9" s="15"/>
    </row>
    <row r="10" customFormat="false" ht="15" hidden="false" customHeight="false" outlineLevel="0" collapsed="false">
      <c r="B10" s="2" t="s">
        <v>42</v>
      </c>
      <c r="C10" s="13" t="str">
        <f aca="false">IF($C$6="","",INDEX(マスタ!$G$3:$G$8,MATCH($C$6,マスタ!$A$3:$A$8,0))&amp;"／指導："&amp;INDEX(マスタ!$H$3:$H$8,MATCH($C$6,マスタ!$A$3:$A$8,0)))</f>
        <v>1領域の定型業務（指示された範囲）／指導：なし</v>
      </c>
      <c r="D10" s="13"/>
      <c r="E10" s="13"/>
    </row>
    <row r="11" customFormat="false" ht="15" hidden="false" customHeight="true" outlineLevel="0" collapsed="false">
      <c r="B11" s="2" t="s">
        <v>43</v>
      </c>
      <c r="C11" s="15" t="s">
        <v>98</v>
      </c>
      <c r="D11" s="15"/>
      <c r="E11" s="15"/>
    </row>
    <row r="12" customFormat="false" ht="15" hidden="false" customHeight="true" outlineLevel="0" collapsed="false">
      <c r="B12" s="2" t="s">
        <v>44</v>
      </c>
      <c r="C12" s="11" t="s">
        <v>99</v>
      </c>
      <c r="D12" s="11"/>
      <c r="E12" s="11"/>
    </row>
    <row r="13" customFormat="false" ht="15" hidden="false" customHeight="false" outlineLevel="0" collapsed="false">
      <c r="B13" s="2" t="s">
        <v>45</v>
      </c>
      <c r="C13" s="13" t="str">
        <f aca="false">IF($C$12="","",INDEX(マスタ!$B$3:$B$8,MATCH($C$12,マスタ!$A$3:$A$8,0))&amp;"（INTS："&amp;INDEX(マスタ!$F$3:$F$8,MATCH($C$12,マスタ!$A$3:$A$8,0))&amp;"）")</f>
        <v>マネジャー（INTS：Manager）</v>
      </c>
      <c r="D13" s="13"/>
      <c r="E13" s="13"/>
    </row>
    <row r="14" customFormat="false" ht="15" hidden="false" customHeight="false" outlineLevel="0" collapsed="false">
      <c r="B14" s="2" t="s">
        <v>46</v>
      </c>
      <c r="C14" s="14" t="n">
        <v>46321</v>
      </c>
      <c r="D14" s="14"/>
      <c r="E14" s="14"/>
    </row>
    <row r="15" customFormat="false" ht="15" hidden="false" customHeight="true" outlineLevel="0" collapsed="false">
      <c r="B15" s="2" t="s">
        <v>47</v>
      </c>
      <c r="C15" s="15" t="s">
        <v>48</v>
      </c>
      <c r="D15" s="15"/>
      <c r="E15" s="15"/>
    </row>
    <row r="17" customFormat="false" ht="21.75" hidden="false" customHeight="true" outlineLevel="0" collapsed="false">
      <c r="A17" s="10" t="s">
        <v>49</v>
      </c>
      <c r="B17" s="10"/>
      <c r="C17" s="10"/>
      <c r="D17" s="10"/>
      <c r="E17" s="10"/>
      <c r="F17" s="10"/>
      <c r="G17" s="10"/>
    </row>
    <row r="18" customFormat="false" ht="60" hidden="false" customHeight="true" outlineLevel="0" collapsed="false">
      <c r="B18" s="2" t="s">
        <v>50</v>
      </c>
      <c r="C18" s="16" t="s">
        <v>100</v>
      </c>
      <c r="D18" s="16"/>
      <c r="E18" s="16"/>
      <c r="F18" s="16"/>
      <c r="G18" s="16"/>
    </row>
    <row r="19" customFormat="false" ht="15" hidden="false" customHeight="false" outlineLevel="0" collapsed="false">
      <c r="A19" s="17" t="s">
        <v>51</v>
      </c>
      <c r="B19" s="17" t="s">
        <v>52</v>
      </c>
      <c r="C19" s="17" t="s">
        <v>53</v>
      </c>
      <c r="D19" s="17" t="s">
        <v>54</v>
      </c>
      <c r="E19" s="17" t="s">
        <v>55</v>
      </c>
      <c r="F19" s="17" t="s">
        <v>56</v>
      </c>
      <c r="G19" s="17" t="s">
        <v>57</v>
      </c>
    </row>
    <row r="20" customFormat="false" ht="75" hidden="false" customHeight="true" outlineLevel="0" collapsed="false">
      <c r="A20" s="17" t="s">
        <v>58</v>
      </c>
      <c r="B20" s="18" t="s">
        <v>59</v>
      </c>
      <c r="C20" s="19" t="n">
        <f aca="false">IF($C$6="","",INDEX(マスタ!$B$12:$G$20,MATCH($B20,マスタ!$A$12:$A$20,0),MATCH($C$6,マスタ!$A$3:$A$8,0)))</f>
        <v>0.2</v>
      </c>
      <c r="D20" s="7" t="str">
        <f aca="false">IF($C$6="","",INDEX(マスタ!$B$24:$G$32,MATCH($B20,マスタ!$A$24:$A$32,0),MATCH($C$6,マスタ!$A$3:$A$8,0)))</f>
        <v>上長の支援で課題を整理する</v>
      </c>
      <c r="E20" s="6" t="s">
        <v>101</v>
      </c>
      <c r="F20" s="6" t="s">
        <v>102</v>
      </c>
      <c r="G20" s="6" t="s">
        <v>103</v>
      </c>
    </row>
    <row r="21" customFormat="false" ht="75" hidden="false" customHeight="true" outlineLevel="0" collapsed="false">
      <c r="A21" s="17"/>
      <c r="B21" s="18" t="s">
        <v>60</v>
      </c>
      <c r="C21" s="19" t="n">
        <f aca="false">IF($C$6="","",INDEX(マスタ!$B$12:$G$20,MATCH($B21,マスタ!$A$12:$A$20,0),MATCH($C$6,マスタ!$A$3:$A$8,0)))</f>
        <v>0.2</v>
      </c>
      <c r="D21" s="7" t="str">
        <f aca="false">IF($C$6="","",INDEX(マスタ!$B$24:$G$32,MATCH($B21,マスタ!$A$24:$A$32,0),MATCH($C$6,マスタ!$A$3:$A$8,0)))</f>
        <v>支援を受け期日・品質を守る</v>
      </c>
      <c r="E21" s="6" t="s">
        <v>104</v>
      </c>
      <c r="F21" s="6" t="s">
        <v>105</v>
      </c>
      <c r="G21" s="6" t="s">
        <v>106</v>
      </c>
    </row>
    <row r="22" customFormat="false" ht="75" hidden="false" customHeight="true" outlineLevel="0" collapsed="false">
      <c r="A22" s="17"/>
      <c r="B22" s="18" t="s">
        <v>61</v>
      </c>
      <c r="C22" s="19" t="n">
        <f aca="false">IF($C$6="","",INDEX(マスタ!$B$12:$G$20,MATCH($B22,マスタ!$A$12:$A$20,0),MATCH($C$6,マスタ!$A$3:$A$8,0)))</f>
        <v>0.1</v>
      </c>
      <c r="D22" s="7" t="str">
        <f aca="false">IF($C$6="","",INDEX(マスタ!$B$24:$G$32,MATCH($B22,マスタ!$A$24:$A$32,0),MATCH($C$6,マスタ!$A$3:$A$8,0)))</f>
        <v>報・連・相を確実に行う</v>
      </c>
      <c r="E22" s="6" t="s">
        <v>107</v>
      </c>
      <c r="F22" s="6" t="s">
        <v>108</v>
      </c>
      <c r="G22" s="6" t="s">
        <v>109</v>
      </c>
    </row>
    <row r="23" customFormat="false" ht="75" hidden="false" customHeight="true" outlineLevel="0" collapsed="false">
      <c r="A23" s="17"/>
      <c r="B23" s="18" t="s">
        <v>62</v>
      </c>
      <c r="C23" s="19" t="n">
        <f aca="false">IF($C$6="","",INDEX(マスタ!$B$12:$G$20,MATCH($B23,マスタ!$A$12:$A$20,0),MATCH($C$6,マスタ!$A$3:$A$8,0)))</f>
        <v>0.1</v>
      </c>
      <c r="D23" s="7" t="str">
        <f aca="false">IF($C$6="","",INDEX(マスタ!$B$24:$G$32,MATCH($B23,マスタ!$A$24:$A$32,0),MATCH($C$6,マスタ!$A$3:$A$8,0)))</f>
        <v>指示どおり正確に作成する</v>
      </c>
      <c r="E23" s="6" t="s">
        <v>110</v>
      </c>
      <c r="F23" s="6" t="s">
        <v>111</v>
      </c>
      <c r="G23" s="6" t="s">
        <v>112</v>
      </c>
    </row>
    <row r="24" customFormat="false" ht="75" hidden="false" customHeight="true" outlineLevel="0" collapsed="false">
      <c r="A24" s="17"/>
      <c r="B24" s="18" t="s">
        <v>63</v>
      </c>
      <c r="C24" s="19" t="n">
        <f aca="false">IF($C$6="","",INDEX(マスタ!$B$12:$G$20,MATCH($B24,マスタ!$A$12:$A$20,0),MATCH($C$6,マスタ!$A$3:$A$8,0)))</f>
        <v>0</v>
      </c>
      <c r="D24" s="7" t="str">
        <f aca="false">IF($C$6="","",INDEX(マスタ!$B$24:$G$32,MATCH($B24,マスタ!$A$24:$A$32,0),MATCH($C$6,マスタ!$A$3:$A$8,0)))</f>
        <v>－（育成目標で管理）</v>
      </c>
      <c r="E24" s="6"/>
      <c r="F24" s="6"/>
      <c r="G24" s="6"/>
    </row>
    <row r="25" customFormat="false" ht="75" hidden="false" customHeight="true" outlineLevel="0" collapsed="false">
      <c r="A25" s="17" t="s">
        <v>64</v>
      </c>
      <c r="B25" s="18" t="s">
        <v>65</v>
      </c>
      <c r="C25" s="19" t="n">
        <f aca="false">IF($C$6="","",INDEX(マスタ!$B$12:$G$20,MATCH($B25,マスタ!$A$12:$A$20,0),MATCH($C$6,マスタ!$A$3:$A$8,0)))</f>
        <v>0.1</v>
      </c>
      <c r="D25" s="7" t="str">
        <f aca="false">IF($C$6="","",INDEX(マスタ!$B$24:$G$32,MATCH($B25,マスタ!$A$24:$A$32,0),MATCH($C$6,マスタ!$A$3:$A$8,0)))</f>
        <v>フィードバックを受け改善する</v>
      </c>
      <c r="E25" s="6" t="s">
        <v>113</v>
      </c>
      <c r="F25" s="6" t="s">
        <v>114</v>
      </c>
      <c r="G25" s="6" t="s">
        <v>115</v>
      </c>
    </row>
    <row r="26" customFormat="false" ht="75" hidden="false" customHeight="true" outlineLevel="0" collapsed="false">
      <c r="A26" s="17"/>
      <c r="B26" s="18" t="s">
        <v>66</v>
      </c>
      <c r="C26" s="19" t="n">
        <f aca="false">IF($C$6="","",INDEX(マスタ!$B$12:$G$20,MATCH($B26,マスタ!$A$12:$A$20,0),MATCH($C$6,マスタ!$A$3:$A$8,0)))</f>
        <v>0.1</v>
      </c>
      <c r="D26" s="7" t="str">
        <f aca="false">IF($C$6="","",INDEX(マスタ!$B$24:$G$32,MATCH($B26,マスタ!$A$24:$A$32,0),MATCH($C$6,マスタ!$A$3:$A$8,0)))</f>
        <v>指示の範囲で協力する</v>
      </c>
      <c r="E26" s="6" t="s">
        <v>116</v>
      </c>
      <c r="F26" s="6" t="s">
        <v>117</v>
      </c>
      <c r="G26" s="6" t="s">
        <v>118</v>
      </c>
    </row>
    <row r="27" customFormat="false" ht="75" hidden="false" customHeight="true" outlineLevel="0" collapsed="false">
      <c r="A27" s="17" t="s">
        <v>67</v>
      </c>
      <c r="B27" s="18" t="s">
        <v>68</v>
      </c>
      <c r="C27" s="19" t="n">
        <f aca="false">IF($C$6="","",INDEX(マスタ!$B$12:$G$20,MATCH($B27,マスタ!$A$12:$A$20,0),MATCH($C$6,マスタ!$A$3:$A$8,0)))</f>
        <v>0.1</v>
      </c>
      <c r="D27" s="7" t="str">
        <f aca="false">IF($C$6="","",INDEX(マスタ!$B$24:$G$32,MATCH($B27,マスタ!$A$24:$A$32,0),MATCH($C$6,マスタ!$A$3:$A$8,0)))</f>
        <v>ルールを理解し実践する</v>
      </c>
      <c r="E27" s="6" t="s">
        <v>119</v>
      </c>
      <c r="F27" s="6" t="s">
        <v>120</v>
      </c>
      <c r="G27" s="6" t="s">
        <v>121</v>
      </c>
    </row>
    <row r="28" customFormat="false" ht="75" hidden="false" customHeight="true" outlineLevel="0" collapsed="false">
      <c r="A28" s="17"/>
      <c r="B28" s="18" t="s">
        <v>69</v>
      </c>
      <c r="C28" s="19" t="n">
        <f aca="false">IF($C$6="","",INDEX(マスタ!$B$12:$G$20,MATCH($B28,マスタ!$A$12:$A$20,0),MATCH($C$6,マスタ!$A$3:$A$8,0)))</f>
        <v>0.1</v>
      </c>
      <c r="D28" s="7" t="str">
        <f aca="false">IF($C$6="","",INDEX(マスタ!$B$24:$G$32,MATCH($B28,マスタ!$A$24:$A$32,0),MATCH($C$6,マスタ!$A$3:$A$8,0)))</f>
        <v>精度・期限を守り完遂する</v>
      </c>
      <c r="E28" s="6" t="s">
        <v>122</v>
      </c>
      <c r="F28" s="6" t="s">
        <v>123</v>
      </c>
      <c r="G28" s="6" t="s">
        <v>124</v>
      </c>
    </row>
    <row r="29" customFormat="false" ht="15" hidden="false" customHeight="false" outlineLevel="0" collapsed="false">
      <c r="B29" s="18" t="s">
        <v>70</v>
      </c>
      <c r="C29" s="20" t="n">
        <f aca="false">SUM(C20:C28)</f>
        <v>1</v>
      </c>
      <c r="D29" s="21" t="str">
        <f aca="false">IF($C$6="","",IF(ROUND(C29,4)=1,"","ウェイト合計が100%になっていません"))</f>
        <v/>
      </c>
    </row>
    <row r="30" customFormat="false" ht="75" hidden="false" customHeight="true" outlineLevel="0" collapsed="false">
      <c r="A30" s="22"/>
      <c r="B30" s="2" t="s">
        <v>71</v>
      </c>
      <c r="C30" s="7"/>
      <c r="D30" s="7" t="str">
        <f aca="false">IF(OR($C$6="",$C$9=""),"","現レベル："&amp;INDEX(マスタ!$C$36:$H$41,MATCH($C$9,マスタ!$A$36:$A$41,0),MATCH($C$6,マスタ!$A$3:$A$8,0))&amp;CHAR(10)&amp;"次のレベル："&amp;INDEX(マスタ!$C$36:$H$41,MATCH($C$9,マスタ!$A$36:$A$41,0),MIN(MATCH($C$6,マスタ!$A$3:$A$8,0)+1,6)))</f>
        <v>現レベル：入退社・勤怠・社保の手続
次のレベル：労務運用・評価の事務局</v>
      </c>
      <c r="E30" s="16" t="s">
        <v>125</v>
      </c>
      <c r="F30" s="6" t="s">
        <v>126</v>
      </c>
      <c r="G30" s="6" t="s">
        <v>127</v>
      </c>
    </row>
    <row r="31" customFormat="false" ht="75" hidden="false" customHeight="true" outlineLevel="0" collapsed="false">
      <c r="A31" s="22"/>
      <c r="B31" s="2" t="s">
        <v>72</v>
      </c>
      <c r="C31" s="7"/>
      <c r="D31" s="23" t="s">
        <v>73</v>
      </c>
      <c r="E31" s="6" t="s">
        <v>128</v>
      </c>
      <c r="F31" s="6" t="s">
        <v>129</v>
      </c>
      <c r="G31" s="6" t="s">
        <v>130</v>
      </c>
    </row>
    <row r="33" customFormat="false" ht="21.75" hidden="false" customHeight="true" outlineLevel="0" collapsed="false">
      <c r="A33" s="10" t="s">
        <v>74</v>
      </c>
      <c r="B33" s="10"/>
      <c r="C33" s="10"/>
      <c r="D33" s="10"/>
      <c r="E33" s="10"/>
      <c r="F33" s="10"/>
      <c r="G33" s="10"/>
    </row>
    <row r="34" customFormat="false" ht="15" hidden="false" customHeight="false" outlineLevel="0" collapsed="false">
      <c r="B34" s="2" t="s">
        <v>75</v>
      </c>
      <c r="C34" s="24" t="s">
        <v>131</v>
      </c>
      <c r="D34" s="25" t="str">
        <f aca="false">IF($C$34="","",INDEX(マスタ!$B$3:$B$8,MATCH($C$34,マスタ!$A$3:$A$8,0))&amp;"（INTS："&amp;INDEX(マスタ!$F$3:$F$8,MATCH($C$34,マスタ!$A$3:$A$8,0))&amp;"）／"&amp;INDEX(マスタ!$D$3:$D$8,MATCH($C$34,マスタ!$A$3:$A$8,0)))</f>
        <v>チーフ（INTS：Consultant）／主任</v>
      </c>
      <c r="E34" s="25"/>
      <c r="F34" s="25"/>
      <c r="G34" s="25"/>
    </row>
    <row r="35" customFormat="false" ht="60" hidden="false" customHeight="true" outlineLevel="0" collapsed="false">
      <c r="B35" s="2" t="s">
        <v>50</v>
      </c>
      <c r="C35" s="16" t="s">
        <v>132</v>
      </c>
      <c r="D35" s="16"/>
      <c r="E35" s="16"/>
      <c r="F35" s="16"/>
      <c r="G35" s="16"/>
    </row>
    <row r="36" customFormat="false" ht="28.35" hidden="false" customHeight="true" outlineLevel="0" collapsed="false">
      <c r="A36" s="17" t="s">
        <v>51</v>
      </c>
      <c r="B36" s="17" t="s">
        <v>52</v>
      </c>
      <c r="C36" s="26"/>
      <c r="D36" s="17" t="s">
        <v>76</v>
      </c>
      <c r="E36" s="27" t="s">
        <v>77</v>
      </c>
      <c r="F36" s="27"/>
      <c r="G36" s="27"/>
    </row>
    <row r="37" customFormat="false" ht="36" hidden="false" customHeight="true" outlineLevel="0" collapsed="false">
      <c r="A37" s="17" t="s">
        <v>58</v>
      </c>
      <c r="B37" s="18" t="s">
        <v>59</v>
      </c>
      <c r="C37" s="7"/>
      <c r="D37" s="7" t="str">
        <f aca="false">IF($C$34="","",INDEX(マスタ!$B$24:$G$32,MATCH($B37,マスタ!$A$24:$A$32,0),MATCH($C$34,マスタ!$A$3:$A$8,0)))</f>
        <v>自ら仮説を立てて構造化する</v>
      </c>
      <c r="E37" s="6" t="s">
        <v>133</v>
      </c>
      <c r="F37" s="6"/>
      <c r="G37" s="6"/>
    </row>
    <row r="38" customFormat="false" ht="36" hidden="false" customHeight="true" outlineLevel="0" collapsed="false">
      <c r="A38" s="17"/>
      <c r="B38" s="18" t="s">
        <v>60</v>
      </c>
      <c r="C38" s="7"/>
      <c r="D38" s="7" t="str">
        <f aca="false">IF($C$34="","",INDEX(マスタ!$B$24:$G$32,MATCH($B38,マスタ!$A$24:$A$32,0),MATCH($C$34,マスタ!$A$3:$A$8,0)))</f>
        <v>逆算で計画し進捗を自発的に共有する</v>
      </c>
      <c r="E38" s="6" t="s">
        <v>134</v>
      </c>
      <c r="F38" s="6"/>
      <c r="G38" s="6"/>
    </row>
    <row r="39" customFormat="false" ht="36" hidden="false" customHeight="true" outlineLevel="0" collapsed="false">
      <c r="A39" s="17"/>
      <c r="B39" s="18" t="s">
        <v>61</v>
      </c>
      <c r="C39" s="7"/>
      <c r="D39" s="7" t="str">
        <f aca="false">IF($C$34="","",INDEX(マスタ!$B$24:$G$32,MATCH($B39,マスタ!$A$24:$A$32,0),MATCH($C$34,マスタ!$A$3:$A$8,0)))</f>
        <v>結論から簡潔に伝える</v>
      </c>
      <c r="E39" s="6" t="s">
        <v>135</v>
      </c>
      <c r="F39" s="6"/>
      <c r="G39" s="6"/>
    </row>
    <row r="40" customFormat="false" ht="36" hidden="false" customHeight="true" outlineLevel="0" collapsed="false">
      <c r="A40" s="17"/>
      <c r="B40" s="18" t="s">
        <v>62</v>
      </c>
      <c r="C40" s="7"/>
      <c r="D40" s="7" t="str">
        <f aca="false">IF($C$34="","",INDEX(マスタ!$B$24:$G$32,MATCH($B40,マスタ!$A$24:$A$32,0),MATCH($C$34,マスタ!$A$3:$A$8,0)))</f>
        <v>要点を先に示す簡潔な文書を作る</v>
      </c>
      <c r="E40" s="6" t="s">
        <v>136</v>
      </c>
      <c r="F40" s="6"/>
      <c r="G40" s="6"/>
    </row>
    <row r="41" customFormat="false" ht="36" hidden="false" customHeight="true" outlineLevel="0" collapsed="false">
      <c r="A41" s="17"/>
      <c r="B41" s="18" t="s">
        <v>63</v>
      </c>
      <c r="C41" s="7"/>
      <c r="D41" s="7" t="str">
        <f aca="false">IF($C$34="","",INDEX(マスタ!$B$24:$G$32,MATCH($B41,マスタ!$A$24:$A$32,0),MATCH($C$34,マスタ!$A$3:$A$8,0)))</f>
        <v>－（育成目標で管理）</v>
      </c>
      <c r="E41" s="6"/>
      <c r="F41" s="6"/>
      <c r="G41" s="6"/>
    </row>
    <row r="42" customFormat="false" ht="36" hidden="false" customHeight="true" outlineLevel="0" collapsed="false">
      <c r="A42" s="17" t="s">
        <v>64</v>
      </c>
      <c r="B42" s="18" t="s">
        <v>65</v>
      </c>
      <c r="C42" s="7"/>
      <c r="D42" s="7" t="str">
        <f aca="false">IF($C$34="","",INDEX(マスタ!$B$24:$G$32,MATCH($B42,マスタ!$A$24:$A$32,0),MATCH($C$34,マスタ!$A$3:$A$8,0)))</f>
        <v>自ら成長目標を設定し学ぶ</v>
      </c>
      <c r="E42" s="6" t="s">
        <v>137</v>
      </c>
      <c r="F42" s="6"/>
      <c r="G42" s="6"/>
    </row>
    <row r="43" customFormat="false" ht="36" hidden="false" customHeight="true" outlineLevel="0" collapsed="false">
      <c r="A43" s="17"/>
      <c r="B43" s="18" t="s">
        <v>66</v>
      </c>
      <c r="C43" s="7"/>
      <c r="D43" s="7" t="str">
        <f aca="false">IF($C$34="","",INDEX(マスタ!$B$24:$G$32,MATCH($B43,マスタ!$A$24:$A$32,0),MATCH($C$34,マスタ!$A$3:$A$8,0)))</f>
        <v>本体の担当者と自ら連携する</v>
      </c>
      <c r="E43" s="6" t="s">
        <v>138</v>
      </c>
      <c r="F43" s="6"/>
      <c r="G43" s="6"/>
    </row>
    <row r="44" customFormat="false" ht="36" hidden="false" customHeight="true" outlineLevel="0" collapsed="false">
      <c r="A44" s="17" t="s">
        <v>67</v>
      </c>
      <c r="B44" s="18" t="s">
        <v>68</v>
      </c>
      <c r="C44" s="7"/>
      <c r="D44" s="7" t="str">
        <f aca="false">IF($C$34="","",INDEX(マスタ!$B$24:$G$32,MATCH($B44,マスタ!$A$24:$A$32,0),MATCH($C$34,マスタ!$A$3:$A$8,0)))</f>
        <v>運用する側として改善を提案する</v>
      </c>
      <c r="E44" s="6" t="s">
        <v>139</v>
      </c>
      <c r="F44" s="6"/>
      <c r="G44" s="6"/>
    </row>
    <row r="45" customFormat="false" ht="36" hidden="false" customHeight="true" outlineLevel="0" collapsed="false">
      <c r="A45" s="17"/>
      <c r="B45" s="18" t="s">
        <v>69</v>
      </c>
      <c r="C45" s="7"/>
      <c r="D45" s="7" t="str">
        <f aca="false">IF($C$34="","",INDEX(マスタ!$B$24:$G$32,MATCH($B45,マスタ!$A$24:$A$32,0),MATCH($C$34,マスタ!$A$3:$A$8,0)))</f>
        <v>上長の確認が不要な精度で作成する</v>
      </c>
      <c r="E45" s="6" t="s">
        <v>140</v>
      </c>
      <c r="F45" s="6"/>
      <c r="G45" s="6"/>
    </row>
    <row r="46" customFormat="false" ht="36" hidden="false" customHeight="true" outlineLevel="0" collapsed="false">
      <c r="A46" s="26"/>
      <c r="B46" s="2" t="s">
        <v>78</v>
      </c>
      <c r="C46" s="7"/>
      <c r="D46" s="23" t="s">
        <v>79</v>
      </c>
      <c r="E46" s="6" t="s">
        <v>141</v>
      </c>
      <c r="F46" s="6"/>
      <c r="G46" s="6"/>
    </row>
    <row r="48" customFormat="false" ht="21.75" hidden="false" customHeight="true" outlineLevel="0" collapsed="false">
      <c r="A48" s="28" t="s">
        <v>80</v>
      </c>
      <c r="B48" s="28"/>
      <c r="C48" s="28"/>
      <c r="D48" s="28"/>
      <c r="E48" s="28"/>
      <c r="F48" s="28"/>
      <c r="G48" s="28"/>
    </row>
    <row r="49" customFormat="false" ht="15" hidden="false" customHeight="false" outlineLevel="0" collapsed="false">
      <c r="B49" s="2" t="s">
        <v>81</v>
      </c>
      <c r="C49" s="25" t="str">
        <f aca="false">IF($C$6="","",INDEX(マスタ!$I$3:$I$8,MATCH($C$6,マスタ!$A$3:$A$8,0)))</f>
        <v>対象外</v>
      </c>
      <c r="D49" s="25"/>
      <c r="E49" s="25"/>
      <c r="F49" s="25"/>
      <c r="G49" s="25"/>
    </row>
    <row r="50" customFormat="false" ht="15" hidden="false" customHeight="false" outlineLevel="0" collapsed="false">
      <c r="A50" s="17" t="s">
        <v>82</v>
      </c>
      <c r="B50" s="27" t="s">
        <v>83</v>
      </c>
      <c r="C50" s="17" t="s">
        <v>53</v>
      </c>
      <c r="D50" s="17" t="s">
        <v>84</v>
      </c>
      <c r="E50" s="17" t="s">
        <v>85</v>
      </c>
      <c r="F50" s="17" t="s">
        <v>86</v>
      </c>
      <c r="G50" s="17" t="s">
        <v>87</v>
      </c>
    </row>
    <row r="51" customFormat="false" ht="36" hidden="false" customHeight="true" outlineLevel="0" collapsed="false">
      <c r="A51" s="24"/>
      <c r="B51" s="6"/>
      <c r="C51" s="29"/>
      <c r="D51" s="6"/>
      <c r="E51" s="6"/>
      <c r="F51" s="6"/>
      <c r="G51" s="6"/>
    </row>
    <row r="52" customFormat="false" ht="36" hidden="false" customHeight="true" outlineLevel="0" collapsed="false">
      <c r="A52" s="24"/>
      <c r="B52" s="6"/>
      <c r="C52" s="29"/>
      <c r="D52" s="6"/>
      <c r="E52" s="6"/>
      <c r="F52" s="6"/>
      <c r="G52" s="6"/>
    </row>
    <row r="53" customFormat="false" ht="36" hidden="false" customHeight="true" outlineLevel="0" collapsed="false">
      <c r="A53" s="24"/>
      <c r="B53" s="6"/>
      <c r="C53" s="29"/>
      <c r="D53" s="6"/>
      <c r="E53" s="6"/>
      <c r="F53" s="6"/>
      <c r="G53" s="6"/>
    </row>
    <row r="54" customFormat="false" ht="36" hidden="false" customHeight="true" outlineLevel="0" collapsed="false">
      <c r="A54" s="24"/>
      <c r="B54" s="6"/>
      <c r="C54" s="29"/>
      <c r="D54" s="6"/>
      <c r="E54" s="6"/>
      <c r="F54" s="6"/>
      <c r="G54" s="6"/>
    </row>
    <row r="55" customFormat="false" ht="15" hidden="false" customHeight="false" outlineLevel="0" collapsed="false">
      <c r="B55" s="18" t="s">
        <v>70</v>
      </c>
      <c r="C55" s="20" t="n">
        <f aca="false">SUM(C51:C54)</f>
        <v>0</v>
      </c>
      <c r="D55" s="30" t="str">
        <f aca="false">IF($C$6="","",IF(MATCH($C$6,マスタ!$A$3:$A$8,0)&lt;4,"",IF(ROUND(C55,4)=1,"","KPIのウェイト合計が100%になっていません")))</f>
        <v/>
      </c>
      <c r="E55" s="30"/>
      <c r="F55" s="30"/>
      <c r="G55" s="30"/>
    </row>
    <row r="57" customFormat="false" ht="21.75" hidden="false" customHeight="true" outlineLevel="0" collapsed="false">
      <c r="A57" s="10" t="s">
        <v>88</v>
      </c>
      <c r="B57" s="10"/>
      <c r="C57" s="10"/>
      <c r="D57" s="10"/>
      <c r="E57" s="10"/>
      <c r="F57" s="10"/>
      <c r="G57" s="10"/>
    </row>
    <row r="58" customFormat="false" ht="60" hidden="false" customHeight="true" outlineLevel="0" collapsed="false">
      <c r="B58" s="2" t="s">
        <v>89</v>
      </c>
      <c r="C58" s="16"/>
      <c r="D58" s="16"/>
      <c r="E58" s="16"/>
      <c r="F58" s="16"/>
      <c r="G58" s="16"/>
    </row>
    <row r="59" customFormat="false" ht="60" hidden="false" customHeight="true" outlineLevel="0" collapsed="false">
      <c r="B59" s="2" t="s">
        <v>90</v>
      </c>
      <c r="C59" s="16"/>
      <c r="D59" s="16"/>
      <c r="E59" s="16"/>
      <c r="F59" s="16"/>
      <c r="G59" s="16"/>
    </row>
    <row r="61" customFormat="false" ht="21.75" hidden="false" customHeight="true" outlineLevel="0" collapsed="false">
      <c r="A61" s="10" t="s">
        <v>91</v>
      </c>
      <c r="B61" s="10"/>
      <c r="C61" s="10"/>
      <c r="D61" s="10"/>
      <c r="E61" s="10"/>
      <c r="F61" s="10"/>
      <c r="G61" s="10"/>
    </row>
    <row r="62" customFormat="false" ht="60" hidden="false" customHeight="true" outlineLevel="0" collapsed="false">
      <c r="B62" s="2" t="s">
        <v>92</v>
      </c>
      <c r="C62" s="6" t="s">
        <v>142</v>
      </c>
      <c r="D62" s="6"/>
      <c r="E62" s="6"/>
      <c r="F62" s="6"/>
      <c r="G62" s="6"/>
    </row>
    <row r="63" customFormat="false" ht="15" hidden="false" customHeight="false" outlineLevel="0" collapsed="false">
      <c r="B63" s="2" t="s">
        <v>93</v>
      </c>
      <c r="C63" s="31" t="n">
        <v>46330</v>
      </c>
      <c r="D63" s="31"/>
    </row>
  </sheetData>
  <mergeCells count="45">
    <mergeCell ref="A4:G4"/>
    <mergeCell ref="C5:E5"/>
    <mergeCell ref="C6:E6"/>
    <mergeCell ref="F6:G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A17:G17"/>
    <mergeCell ref="C18:G18"/>
    <mergeCell ref="A20:A24"/>
    <mergeCell ref="A25:A26"/>
    <mergeCell ref="A27:A28"/>
    <mergeCell ref="A30:A31"/>
    <mergeCell ref="A33:G33"/>
    <mergeCell ref="D34:G34"/>
    <mergeCell ref="C35:G35"/>
    <mergeCell ref="E36:G36"/>
    <mergeCell ref="A37:A41"/>
    <mergeCell ref="E37:G37"/>
    <mergeCell ref="E38:G38"/>
    <mergeCell ref="E39:G39"/>
    <mergeCell ref="E40:G40"/>
    <mergeCell ref="E41:G41"/>
    <mergeCell ref="A42:A43"/>
    <mergeCell ref="E42:G42"/>
    <mergeCell ref="E43:G43"/>
    <mergeCell ref="A44:A45"/>
    <mergeCell ref="E44:G44"/>
    <mergeCell ref="E45:G45"/>
    <mergeCell ref="E46:G46"/>
    <mergeCell ref="A48:G48"/>
    <mergeCell ref="C49:G49"/>
    <mergeCell ref="D55:G55"/>
    <mergeCell ref="A57:G57"/>
    <mergeCell ref="C58:G58"/>
    <mergeCell ref="C59:G59"/>
    <mergeCell ref="A61:G61"/>
    <mergeCell ref="C62:G62"/>
    <mergeCell ref="C63:D63"/>
  </mergeCells>
  <dataValidations count="3">
    <dataValidation allowBlank="true" errorStyle="stop" operator="between" showDropDown="false" showErrorMessage="false" showInputMessage="false" sqref="C6 C12 C34" type="list">
      <formula1>マスタ!$A$3:$A$8</formula1>
      <formula2>0</formula2>
    </dataValidation>
    <dataValidation allowBlank="true" errorStyle="stop" operator="between" showDropDown="false" showErrorMessage="false" showInputMessage="false" sqref="C9" type="list">
      <formula1>マスタ!$A$36:$A$41</formula1>
      <formula2>0</formula2>
    </dataValidation>
    <dataValidation allowBlank="true" errorStyle="stop" operator="between" showDropDown="false" showErrorMessage="false" showInputMessage="false" sqref="A51:A54" type="list">
      <formula1>マスタ!$A$45:$A$45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7" min="5" style="0" width="38"/>
  </cols>
  <sheetData>
    <row r="1" customFormat="false" ht="19.4" hidden="false" customHeight="false" outlineLevel="0" collapsed="false">
      <c r="A1" s="1" t="s">
        <v>143</v>
      </c>
    </row>
    <row r="2" customFormat="false" ht="15" hidden="false" customHeight="false" outlineLevel="0" collapsed="false">
      <c r="A2" s="9" t="s">
        <v>35</v>
      </c>
    </row>
    <row r="4" customFormat="false" ht="21.75" hidden="false" customHeight="true" outlineLevel="0" collapsed="false">
      <c r="A4" s="10" t="s">
        <v>36</v>
      </c>
      <c r="B4" s="10"/>
      <c r="C4" s="10"/>
      <c r="D4" s="10"/>
      <c r="E4" s="10"/>
      <c r="F4" s="10"/>
      <c r="G4" s="10"/>
    </row>
    <row r="5" customFormat="false" ht="15" hidden="false" customHeight="true" outlineLevel="0" collapsed="false">
      <c r="B5" s="2" t="s">
        <v>37</v>
      </c>
      <c r="C5" s="15" t="s">
        <v>144</v>
      </c>
      <c r="D5" s="15"/>
      <c r="E5" s="15"/>
    </row>
    <row r="6" customFormat="false" ht="15" hidden="false" customHeight="true" outlineLevel="0" collapsed="false">
      <c r="B6" s="2" t="s">
        <v>38</v>
      </c>
      <c r="C6" s="11" t="s">
        <v>99</v>
      </c>
      <c r="D6" s="11"/>
      <c r="E6" s="11"/>
      <c r="F6" s="12" t="str">
        <f aca="false">IF($C$6="","","評価の比率：コンピテンシー "&amp;TEXT(INDEX(マスタ!$J$3:$J$8,MATCH($C$6,マスタ!$A$3:$A$8,0)),"0%")&amp;"／KPI目標："&amp;INDEX(マスタ!$I$3:$I$8,MATCH($C$6,マスタ!$A$3:$A$8,0)))</f>
        <v>評価の比率：コンピテンシー 70%／KPI目標：非財務KPI（評価全体の30%）</v>
      </c>
      <c r="G6" s="12"/>
    </row>
    <row r="7" customFormat="false" ht="15" hidden="false" customHeight="false" outlineLevel="0" collapsed="false">
      <c r="B7" s="2" t="s">
        <v>39</v>
      </c>
      <c r="C7" s="13" t="str">
        <f aca="false">IF(OR($C$6="",$C$9=""),"",INDEX(マスタ!$B$36:$B$41,MATCH($C$9,マスタ!$A$36:$A$41,0))&amp;INDEX(マスタ!$B$3:$B$8,MATCH($C$6,マスタ!$A$3:$A$8,0))&amp;"（INTS："&amp;INDEX(マスタ!$F$3:$F$8,MATCH($C$6,マスタ!$A$3:$A$8,0))&amp;"）")</f>
        <v>CPマネジャー（INTS：Manager）</v>
      </c>
      <c r="D7" s="13"/>
      <c r="E7" s="13"/>
    </row>
    <row r="8" customFormat="false" ht="15" hidden="false" customHeight="false" outlineLevel="0" collapsed="false">
      <c r="B8" s="2" t="s">
        <v>40</v>
      </c>
      <c r="C8" s="13" t="str">
        <f aca="false">IF($C$6="","",INDEX(マスタ!$D$3:$D$8,MATCH($C$6,マスタ!$A$3:$A$8,0))&amp;"（"&amp;INDEX(マスタ!$E$3:$E$8,MATCH($C$6,マスタ!$A$3:$A$8,0))&amp;"）")</f>
        <v>課長（A09）</v>
      </c>
      <c r="D8" s="13"/>
      <c r="E8" s="13"/>
    </row>
    <row r="9" customFormat="false" ht="15" hidden="false" customHeight="true" outlineLevel="0" collapsed="false">
      <c r="B9" s="2" t="s">
        <v>41</v>
      </c>
      <c r="C9" s="15" t="s">
        <v>145</v>
      </c>
      <c r="D9" s="15"/>
      <c r="E9" s="15"/>
    </row>
    <row r="10" customFormat="false" ht="15" hidden="false" customHeight="false" outlineLevel="0" collapsed="false">
      <c r="B10" s="2" t="s">
        <v>42</v>
      </c>
      <c r="C10" s="13" t="str">
        <f aca="false">IF($C$6="","",INDEX(マスタ!$G$3:$G$8,MATCH($C$6,マスタ!$A$3:$A$8,0))&amp;"／指導："&amp;INDEX(マスタ!$H$3:$H$8,MATCH($C$6,マスタ!$A$3:$A$8,0)))</f>
        <v>2〜3領域の統括／指導：1チーム（2〜4名）</v>
      </c>
      <c r="D10" s="13"/>
      <c r="E10" s="13"/>
    </row>
    <row r="11" customFormat="false" ht="15" hidden="false" customHeight="true" outlineLevel="0" collapsed="false">
      <c r="B11" s="2" t="s">
        <v>43</v>
      </c>
      <c r="C11" s="15" t="s">
        <v>146</v>
      </c>
      <c r="D11" s="15"/>
      <c r="E11" s="15"/>
    </row>
    <row r="12" customFormat="false" ht="15" hidden="false" customHeight="true" outlineLevel="0" collapsed="false">
      <c r="B12" s="2" t="s">
        <v>44</v>
      </c>
      <c r="C12" s="11" t="s">
        <v>147</v>
      </c>
      <c r="D12" s="11"/>
      <c r="E12" s="11"/>
    </row>
    <row r="13" customFormat="false" ht="15" hidden="false" customHeight="false" outlineLevel="0" collapsed="false">
      <c r="B13" s="2" t="s">
        <v>45</v>
      </c>
      <c r="C13" s="13" t="str">
        <f aca="false">IF($C$12="","",INDEX(マスタ!$B$3:$B$8,MATCH($C$12,マスタ!$A$3:$A$8,0))&amp;"（INTS："&amp;INDEX(マスタ!$F$3:$F$8,MATCH($C$12,マスタ!$A$3:$A$8,0))&amp;"）")</f>
        <v>ディレクター（INTS：Director）</v>
      </c>
      <c r="D13" s="13"/>
      <c r="E13" s="13"/>
    </row>
    <row r="14" customFormat="false" ht="15" hidden="false" customHeight="false" outlineLevel="0" collapsed="false">
      <c r="B14" s="2" t="s">
        <v>46</v>
      </c>
      <c r="C14" s="14" t="n">
        <v>46321</v>
      </c>
      <c r="D14" s="14"/>
      <c r="E14" s="14"/>
    </row>
    <row r="15" customFormat="false" ht="15" hidden="false" customHeight="true" outlineLevel="0" collapsed="false">
      <c r="B15" s="2" t="s">
        <v>47</v>
      </c>
      <c r="C15" s="15" t="s">
        <v>48</v>
      </c>
      <c r="D15" s="15"/>
      <c r="E15" s="15"/>
    </row>
    <row r="17" customFormat="false" ht="21.75" hidden="false" customHeight="true" outlineLevel="0" collapsed="false">
      <c r="A17" s="10" t="s">
        <v>49</v>
      </c>
      <c r="B17" s="10"/>
      <c r="C17" s="10"/>
      <c r="D17" s="10"/>
      <c r="E17" s="10"/>
      <c r="F17" s="10"/>
      <c r="G17" s="10"/>
    </row>
    <row r="18" customFormat="false" ht="60" hidden="false" customHeight="true" outlineLevel="0" collapsed="false">
      <c r="B18" s="2" t="s">
        <v>50</v>
      </c>
      <c r="C18" s="16" t="s">
        <v>148</v>
      </c>
      <c r="D18" s="16"/>
      <c r="E18" s="16"/>
      <c r="F18" s="16"/>
      <c r="G18" s="16"/>
    </row>
    <row r="19" customFormat="false" ht="15" hidden="false" customHeight="false" outlineLevel="0" collapsed="false">
      <c r="A19" s="17" t="s">
        <v>51</v>
      </c>
      <c r="B19" s="17" t="s">
        <v>52</v>
      </c>
      <c r="C19" s="17" t="s">
        <v>53</v>
      </c>
      <c r="D19" s="17" t="s">
        <v>54</v>
      </c>
      <c r="E19" s="17" t="s">
        <v>55</v>
      </c>
      <c r="F19" s="17" t="s">
        <v>56</v>
      </c>
      <c r="G19" s="17" t="s">
        <v>57</v>
      </c>
    </row>
    <row r="20" customFormat="false" ht="75" hidden="false" customHeight="true" outlineLevel="0" collapsed="false">
      <c r="A20" s="17" t="s">
        <v>58</v>
      </c>
      <c r="B20" s="18" t="s">
        <v>59</v>
      </c>
      <c r="C20" s="19" t="n">
        <f aca="false">IF($C$6="","",INDEX(マスタ!$B$12:$G$20,MATCH($B20,マスタ!$A$12:$A$20,0),MATCH($C$6,マスタ!$A$3:$A$8,0)))</f>
        <v>0.15</v>
      </c>
      <c r="D20" s="7" t="str">
        <f aca="false">IF($C$6="","",INDEX(マスタ!$B$24:$G$32,MATCH($B20,マスタ!$A$24:$A$32,0),MATCH($C$6,マスタ!$A$3:$A$8,0)))</f>
        <v>複数領域の論点設定・分析をリードする</v>
      </c>
      <c r="E20" s="6" t="s">
        <v>149</v>
      </c>
      <c r="F20" s="6" t="s">
        <v>150</v>
      </c>
      <c r="G20" s="6" t="s">
        <v>151</v>
      </c>
    </row>
    <row r="21" customFormat="false" ht="75" hidden="false" customHeight="true" outlineLevel="0" collapsed="false">
      <c r="A21" s="17"/>
      <c r="B21" s="18" t="s">
        <v>60</v>
      </c>
      <c r="C21" s="19" t="n">
        <f aca="false">IF($C$6="","",INDEX(マスタ!$B$12:$G$20,MATCH($B21,マスタ!$A$12:$A$20,0),MATCH($C$6,マスタ!$A$3:$A$8,0)))</f>
        <v>0.15</v>
      </c>
      <c r="D21" s="7" t="str">
        <f aca="false">IF($C$6="","",INDEX(マスタ!$B$24:$G$32,MATCH($B21,マスタ!$A$24:$A$32,0),MATCH($C$6,マスタ!$A$3:$A$8,0)))</f>
        <v>複数領域の計画・予算・品質を管理する</v>
      </c>
      <c r="E21" s="6" t="s">
        <v>152</v>
      </c>
      <c r="F21" s="6" t="s">
        <v>153</v>
      </c>
      <c r="G21" s="16" t="s">
        <v>154</v>
      </c>
    </row>
    <row r="22" customFormat="false" ht="75" hidden="false" customHeight="true" outlineLevel="0" collapsed="false">
      <c r="A22" s="17"/>
      <c r="B22" s="18" t="s">
        <v>61</v>
      </c>
      <c r="C22" s="19" t="n">
        <f aca="false">IF($C$6="","",INDEX(マスタ!$B$12:$G$20,MATCH($B22,マスタ!$A$12:$A$20,0),MATCH($C$6,マスタ!$A$3:$A$8,0)))</f>
        <v>0.08</v>
      </c>
      <c r="D22" s="7" t="str">
        <f aca="false">IF($C$6="","",INDEX(マスタ!$B$24:$G$32,MATCH($B22,マスタ!$A$24:$A$32,0),MATCH($C$6,マスタ!$A$3:$A$8,0)))</f>
        <v>事業部門・本体と合意形成する</v>
      </c>
      <c r="E22" s="6" t="s">
        <v>155</v>
      </c>
      <c r="F22" s="6" t="s">
        <v>156</v>
      </c>
      <c r="G22" s="6" t="s">
        <v>157</v>
      </c>
    </row>
    <row r="23" customFormat="false" ht="75" hidden="false" customHeight="true" outlineLevel="0" collapsed="false">
      <c r="A23" s="17"/>
      <c r="B23" s="18" t="s">
        <v>62</v>
      </c>
      <c r="C23" s="19" t="n">
        <f aca="false">IF($C$6="","",INDEX(マスタ!$B$12:$G$20,MATCH($B23,マスタ!$A$12:$A$20,0),MATCH($C$6,マスタ!$A$3:$A$8,0)))</f>
        <v>0.07</v>
      </c>
      <c r="D23" s="7" t="str">
        <f aca="false">IF($C$6="","",INDEX(マスタ!$B$24:$G$32,MATCH($B23,マスタ!$A$24:$A$32,0),MATCH($C$6,マスタ!$A$3:$A$8,0)))</f>
        <v>チームの成果物の品質に責任を持つ</v>
      </c>
      <c r="E23" s="6" t="s">
        <v>158</v>
      </c>
      <c r="F23" s="6" t="s">
        <v>159</v>
      </c>
      <c r="G23" s="6" t="s">
        <v>160</v>
      </c>
    </row>
    <row r="24" customFormat="false" ht="75" hidden="false" customHeight="true" outlineLevel="0" collapsed="false">
      <c r="A24" s="17"/>
      <c r="B24" s="18" t="s">
        <v>63</v>
      </c>
      <c r="C24" s="19" t="n">
        <f aca="false">IF($C$6="","",INDEX(マスタ!$B$12:$G$20,MATCH($B24,マスタ!$A$12:$A$20,0),MATCH($C$6,マスタ!$A$3:$A$8,0)))</f>
        <v>0.1</v>
      </c>
      <c r="D24" s="7" t="str">
        <f aca="false">IF($C$6="","",INDEX(マスタ!$B$24:$G$32,MATCH($B24,マスタ!$A$24:$A$32,0),MATCH($C$6,マスタ!$A$3:$A$8,0)))</f>
        <v>主担当領域で市場水準の専門性を持つ</v>
      </c>
      <c r="E24" s="6" t="s">
        <v>161</v>
      </c>
      <c r="F24" s="6" t="s">
        <v>162</v>
      </c>
      <c r="G24" s="6" t="s">
        <v>163</v>
      </c>
    </row>
    <row r="25" customFormat="false" ht="75" hidden="false" customHeight="true" outlineLevel="0" collapsed="false">
      <c r="A25" s="17" t="s">
        <v>64</v>
      </c>
      <c r="B25" s="18" t="s">
        <v>65</v>
      </c>
      <c r="C25" s="19" t="n">
        <f aca="false">IF($C$6="","",INDEX(マスタ!$B$12:$G$20,MATCH($B25,マスタ!$A$12:$A$20,0),MATCH($C$6,マスタ!$A$3:$A$8,0)))</f>
        <v>0.1</v>
      </c>
      <c r="D25" s="7" t="str">
        <f aca="false">IF($C$6="","",INDEX(マスタ!$B$24:$G$32,MATCH($B25,マスタ!$A$24:$A$32,0),MATCH($C$6,マスタ!$A$3:$A$8,0)))</f>
        <v>メンバーの育成計画・キャリア支援を行う</v>
      </c>
      <c r="E25" s="6" t="s">
        <v>164</v>
      </c>
      <c r="F25" s="6" t="s">
        <v>165</v>
      </c>
      <c r="G25" s="6" t="s">
        <v>166</v>
      </c>
    </row>
    <row r="26" customFormat="false" ht="75" hidden="false" customHeight="true" outlineLevel="0" collapsed="false">
      <c r="A26" s="17"/>
      <c r="B26" s="18" t="s">
        <v>66</v>
      </c>
      <c r="C26" s="19" t="n">
        <f aca="false">IF($C$6="","",INDEX(マスタ!$B$12:$G$20,MATCH($B26,マスタ!$A$12:$A$20,0),MATCH($C$6,マスタ!$A$3:$A$8,0)))</f>
        <v>0.1</v>
      </c>
      <c r="D26" s="7" t="str">
        <f aca="false">IF($C$6="","",INDEX(マスタ!$B$24:$G$32,MATCH($B26,マスタ!$A$24:$A$32,0),MATCH($C$6,マスタ!$A$3:$A$8,0)))</f>
        <v>部門責任者と協働環境を整える</v>
      </c>
      <c r="E26" s="6" t="s">
        <v>167</v>
      </c>
      <c r="F26" s="6" t="s">
        <v>168</v>
      </c>
      <c r="G26" s="6" t="s">
        <v>169</v>
      </c>
    </row>
    <row r="27" customFormat="false" ht="75" hidden="false" customHeight="true" outlineLevel="0" collapsed="false">
      <c r="A27" s="17" t="s">
        <v>67</v>
      </c>
      <c r="B27" s="18" t="s">
        <v>68</v>
      </c>
      <c r="C27" s="19" t="n">
        <f aca="false">IF($C$6="","",INDEX(マスタ!$B$12:$G$20,MATCH($B27,マスタ!$A$12:$A$20,0),MATCH($C$6,マスタ!$A$3:$A$8,0)))</f>
        <v>0.15</v>
      </c>
      <c r="D27" s="7" t="str">
        <f aca="false">IF($C$6="","",INDEX(マスタ!$B$24:$G$32,MATCH($B27,マスタ!$A$24:$A$32,0),MATCH($C$6,マスタ!$A$3:$A$8,0)))</f>
        <v>チームの品質・法令順守に責任を持つ</v>
      </c>
      <c r="E27" s="6" t="s">
        <v>170</v>
      </c>
      <c r="F27" s="6" t="s">
        <v>171</v>
      </c>
      <c r="G27" s="6" t="s">
        <v>172</v>
      </c>
    </row>
    <row r="28" customFormat="false" ht="75" hidden="false" customHeight="true" outlineLevel="0" collapsed="false">
      <c r="A28" s="17"/>
      <c r="B28" s="18" t="s">
        <v>69</v>
      </c>
      <c r="C28" s="19" t="n">
        <f aca="false">IF($C$6="","",INDEX(マスタ!$B$12:$G$20,MATCH($B28,マスタ!$A$12:$A$20,0),MATCH($C$6,マスタ!$A$3:$A$8,0)))</f>
        <v>0.1</v>
      </c>
      <c r="D28" s="7" t="str">
        <f aca="false">IF($C$6="","",INDEX(マスタ!$B$24:$G$32,MATCH($B28,マスタ!$A$24:$A$32,0),MATCH($C$6,マスタ!$A$3:$A$8,0)))</f>
        <v>経営資料の品質・KPI整合を管理する</v>
      </c>
      <c r="E28" s="6" t="s">
        <v>173</v>
      </c>
      <c r="F28" s="6" t="s">
        <v>174</v>
      </c>
      <c r="G28" s="6" t="s">
        <v>175</v>
      </c>
    </row>
    <row r="29" customFormat="false" ht="15" hidden="false" customHeight="false" outlineLevel="0" collapsed="false">
      <c r="B29" s="18" t="s">
        <v>70</v>
      </c>
      <c r="C29" s="20" t="n">
        <f aca="false">SUM(C20:C28)</f>
        <v>1</v>
      </c>
      <c r="D29" s="21" t="str">
        <f aca="false">IF($C$6="","",IF(ROUND(C29,4)=1,"","ウェイト合計が100%になっていません"))</f>
        <v/>
      </c>
    </row>
    <row r="30" customFormat="false" ht="75" hidden="false" customHeight="true" outlineLevel="0" collapsed="false">
      <c r="A30" s="22"/>
      <c r="B30" s="2" t="s">
        <v>71</v>
      </c>
      <c r="C30" s="7"/>
      <c r="D30" s="7" t="str">
        <f aca="false">IF(OR($C$6="",$C$9=""),"","現レベル："&amp;INDEX(マスタ!$C$36:$H$41,MATCH($C$9,マスタ!$A$36:$A$41,0),MATCH($C$6,マスタ!$A$3:$A$8,0))&amp;CHAR(10)&amp;"次のレベル："&amp;INDEX(マスタ!$C$36:$H$41,MATCH($C$9,マスタ!$A$36:$A$41,0),MIN(MATCH($C$6,マスタ!$A$3:$A$8,0)+1,6)))</f>
        <v>現レベル：MBR運営・予実管理の統括
次のレベル：中期計画・KPI・会議体の設計</v>
      </c>
      <c r="E30" s="6" t="s">
        <v>176</v>
      </c>
      <c r="F30" s="16" t="s">
        <v>177</v>
      </c>
      <c r="G30" s="6" t="s">
        <v>178</v>
      </c>
    </row>
    <row r="31" customFormat="false" ht="75" hidden="false" customHeight="true" outlineLevel="0" collapsed="false">
      <c r="A31" s="22"/>
      <c r="B31" s="2" t="s">
        <v>72</v>
      </c>
      <c r="C31" s="7"/>
      <c r="D31" s="23" t="s">
        <v>73</v>
      </c>
      <c r="E31" s="6"/>
      <c r="F31" s="6"/>
      <c r="G31" s="6"/>
    </row>
    <row r="33" customFormat="false" ht="21.75" hidden="false" customHeight="true" outlineLevel="0" collapsed="false">
      <c r="A33" s="10" t="s">
        <v>74</v>
      </c>
      <c r="B33" s="10"/>
      <c r="C33" s="10"/>
      <c r="D33" s="10"/>
      <c r="E33" s="10"/>
      <c r="F33" s="10"/>
      <c r="G33" s="10"/>
    </row>
    <row r="34" customFormat="false" ht="15" hidden="false" customHeight="false" outlineLevel="0" collapsed="false">
      <c r="B34" s="2" t="s">
        <v>75</v>
      </c>
      <c r="C34" s="24" t="s">
        <v>179</v>
      </c>
      <c r="D34" s="25" t="str">
        <f aca="false">IF($C$34="","",INDEX(マスタ!$B$3:$B$8,MATCH($C$34,マスタ!$A$3:$A$8,0))&amp;"（INTS："&amp;INDEX(マスタ!$F$3:$F$8,MATCH($C$34,マスタ!$A$3:$A$8,0))&amp;"）／"&amp;INDEX(マスタ!$D$3:$D$8,MATCH($C$34,マスタ!$A$3:$A$8,0)))</f>
        <v>アソシエイトディレクター／デピュティディレクター（INTS：Manager〜Senior Manager）／部長補佐・副部長</v>
      </c>
      <c r="E34" s="25"/>
      <c r="F34" s="25"/>
      <c r="G34" s="25"/>
    </row>
    <row r="35" customFormat="false" ht="60" hidden="false" customHeight="true" outlineLevel="0" collapsed="false">
      <c r="B35" s="2" t="s">
        <v>50</v>
      </c>
      <c r="C35" s="16" t="s">
        <v>180</v>
      </c>
      <c r="D35" s="16"/>
      <c r="E35" s="16"/>
      <c r="F35" s="16"/>
      <c r="G35" s="16"/>
    </row>
    <row r="36" customFormat="false" ht="28.35" hidden="false" customHeight="true" outlineLevel="0" collapsed="false">
      <c r="A36" s="17" t="s">
        <v>51</v>
      </c>
      <c r="B36" s="17" t="s">
        <v>52</v>
      </c>
      <c r="C36" s="26"/>
      <c r="D36" s="17" t="s">
        <v>76</v>
      </c>
      <c r="E36" s="27" t="s">
        <v>77</v>
      </c>
      <c r="F36" s="27"/>
      <c r="G36" s="27"/>
    </row>
    <row r="37" customFormat="false" ht="36" hidden="false" customHeight="true" outlineLevel="0" collapsed="false">
      <c r="A37" s="17" t="s">
        <v>58</v>
      </c>
      <c r="B37" s="18" t="s">
        <v>59</v>
      </c>
      <c r="C37" s="7"/>
      <c r="D37" s="7" t="str">
        <f aca="false">IF($C$34="","",INDEX(マスタ!$B$24:$G$32,MATCH($B37,マスタ!$A$24:$A$32,0),MATCH($C$34,マスタ!$A$3:$A$8,0)))</f>
        <v>部門横断の課題の打ち手を設計する</v>
      </c>
      <c r="E37" s="6" t="s">
        <v>181</v>
      </c>
      <c r="F37" s="6"/>
      <c r="G37" s="6"/>
    </row>
    <row r="38" customFormat="false" ht="36" hidden="false" customHeight="true" outlineLevel="0" collapsed="false">
      <c r="A38" s="17"/>
      <c r="B38" s="18" t="s">
        <v>60</v>
      </c>
      <c r="C38" s="7"/>
      <c r="D38" s="7" t="str">
        <f aca="false">IF($C$34="","",INDEX(マスタ!$B$24:$G$32,MATCH($B38,マスタ!$A$24:$A$32,0),MATCH($C$34,マスタ!$A$3:$A$8,0)))</f>
        <v>全体のリソース配分を最適化する</v>
      </c>
      <c r="E38" s="16" t="s">
        <v>182</v>
      </c>
      <c r="F38" s="16"/>
      <c r="G38" s="16"/>
    </row>
    <row r="39" customFormat="false" ht="36" hidden="false" customHeight="true" outlineLevel="0" collapsed="false">
      <c r="A39" s="17"/>
      <c r="B39" s="18" t="s">
        <v>61</v>
      </c>
      <c r="C39" s="7"/>
      <c r="D39" s="7" t="str">
        <f aca="false">IF($C$34="","",INDEX(マスタ!$B$24:$G$32,MATCH($B39,マスタ!$A$24:$A$32,0),MATCH($C$34,マスタ!$A$3:$A$8,0)))</f>
        <v>対立テーマでも合意形成を主導する</v>
      </c>
      <c r="E39" s="6" t="s">
        <v>183</v>
      </c>
      <c r="F39" s="6"/>
      <c r="G39" s="6"/>
    </row>
    <row r="40" customFormat="false" ht="36" hidden="false" customHeight="true" outlineLevel="0" collapsed="false">
      <c r="A40" s="17"/>
      <c r="B40" s="18" t="s">
        <v>62</v>
      </c>
      <c r="C40" s="7"/>
      <c r="D40" s="7" t="str">
        <f aca="false">IF($C$34="","",INDEX(マスタ!$B$24:$G$32,MATCH($B40,マスタ!$A$24:$A$32,0),MATCH($C$34,マスタ!$A$3:$A$8,0)))</f>
        <v>経営向けの方針書・制度案を作成する</v>
      </c>
      <c r="E40" s="6" t="s">
        <v>184</v>
      </c>
      <c r="F40" s="6"/>
      <c r="G40" s="6"/>
    </row>
    <row r="41" customFormat="false" ht="36" hidden="false" customHeight="true" outlineLevel="0" collapsed="false">
      <c r="A41" s="17"/>
      <c r="B41" s="18" t="s">
        <v>63</v>
      </c>
      <c r="C41" s="7"/>
      <c r="D41" s="7" t="str">
        <f aca="false">IF($C$34="","",INDEX(マスタ!$B$24:$G$32,MATCH($B41,マスタ!$A$24:$A$32,0),MATCH($C$34,マスタ!$A$3:$A$8,0)))</f>
        <v>複数領域に精通し制度を設計する</v>
      </c>
      <c r="E41" s="6" t="s">
        <v>185</v>
      </c>
      <c r="F41" s="6"/>
      <c r="G41" s="6"/>
    </row>
    <row r="42" customFormat="false" ht="36" hidden="false" customHeight="true" outlineLevel="0" collapsed="false">
      <c r="A42" s="17" t="s">
        <v>64</v>
      </c>
      <c r="B42" s="18" t="s">
        <v>65</v>
      </c>
      <c r="C42" s="7"/>
      <c r="D42" s="7" t="str">
        <f aca="false">IF($C$34="","",INDEX(マスタ!$B$24:$G$32,MATCH($B42,マスタ!$A$24:$A$32,0),MATCH($C$34,マスタ!$A$3:$A$8,0)))</f>
        <v>人材要件の定義と採用・育成計画を作る</v>
      </c>
      <c r="E42" s="16" t="s">
        <v>186</v>
      </c>
      <c r="F42" s="16"/>
      <c r="G42" s="16"/>
    </row>
    <row r="43" customFormat="false" ht="36" hidden="false" customHeight="true" outlineLevel="0" collapsed="false">
      <c r="A43" s="17"/>
      <c r="B43" s="18" t="s">
        <v>66</v>
      </c>
      <c r="C43" s="7"/>
      <c r="D43" s="7" t="str">
        <f aca="false">IF($C$34="","",INDEX(マスタ!$B$24:$G$32,MATCH($B43,マスタ!$A$24:$A$32,0),MATCH($C$34,マスタ!$A$3:$A$8,0)))</f>
        <v>本体・ICBPとの連携体制を構築する</v>
      </c>
      <c r="E43" s="6" t="s">
        <v>187</v>
      </c>
      <c r="F43" s="6"/>
      <c r="G43" s="6"/>
    </row>
    <row r="44" customFormat="false" ht="36" hidden="false" customHeight="true" outlineLevel="0" collapsed="false">
      <c r="A44" s="17" t="s">
        <v>67</v>
      </c>
      <c r="B44" s="18" t="s">
        <v>68</v>
      </c>
      <c r="C44" s="7"/>
      <c r="D44" s="7" t="str">
        <f aca="false">IF($C$34="","",INDEX(マスタ!$B$24:$G$32,MATCH($B44,マスタ!$A$24:$A$32,0),MATCH($C$34,マスタ!$A$3:$A$8,0)))</f>
        <v>品質・リスク管理の仕組みを整備する</v>
      </c>
      <c r="E44" s="6" t="s">
        <v>188</v>
      </c>
      <c r="F44" s="6"/>
      <c r="G44" s="6"/>
    </row>
    <row r="45" customFormat="false" ht="36" hidden="false" customHeight="true" outlineLevel="0" collapsed="false">
      <c r="A45" s="17"/>
      <c r="B45" s="18" t="s">
        <v>69</v>
      </c>
      <c r="C45" s="7"/>
      <c r="D45" s="7" t="str">
        <f aca="false">IF($C$34="","",INDEX(マスタ!$B$24:$G$32,MATCH($B45,マスタ!$A$24:$A$32,0),MATCH($C$34,マスタ!$A$3:$A$8,0)))</f>
        <v>KPI体系・計画プロセスを設計する</v>
      </c>
      <c r="E45" s="16" t="s">
        <v>189</v>
      </c>
      <c r="F45" s="16"/>
      <c r="G45" s="16"/>
    </row>
    <row r="46" customFormat="false" ht="36" hidden="false" customHeight="true" outlineLevel="0" collapsed="false">
      <c r="A46" s="26"/>
      <c r="B46" s="2" t="s">
        <v>78</v>
      </c>
      <c r="C46" s="7"/>
      <c r="D46" s="23" t="s">
        <v>79</v>
      </c>
      <c r="E46" s="6"/>
      <c r="F46" s="6"/>
      <c r="G46" s="6"/>
    </row>
    <row r="48" customFormat="false" ht="21.75" hidden="false" customHeight="true" outlineLevel="0" collapsed="false">
      <c r="A48" s="28" t="s">
        <v>80</v>
      </c>
      <c r="B48" s="28"/>
      <c r="C48" s="28"/>
      <c r="D48" s="28"/>
      <c r="E48" s="28"/>
      <c r="F48" s="28"/>
      <c r="G48" s="28"/>
    </row>
    <row r="49" customFormat="false" ht="15" hidden="false" customHeight="false" outlineLevel="0" collapsed="false">
      <c r="B49" s="2" t="s">
        <v>81</v>
      </c>
      <c r="C49" s="25" t="str">
        <f aca="false">IF($C$6="","",INDEX(マスタ!$I$3:$I$8,MATCH($C$6,マスタ!$A$3:$A$8,0)))</f>
        <v>非財務KPI（評価全体の30%）</v>
      </c>
      <c r="D49" s="25"/>
      <c r="E49" s="25"/>
      <c r="F49" s="25"/>
      <c r="G49" s="25"/>
    </row>
    <row r="50" customFormat="false" ht="15" hidden="false" customHeight="false" outlineLevel="0" collapsed="false">
      <c r="A50" s="17" t="s">
        <v>82</v>
      </c>
      <c r="B50" s="27" t="s">
        <v>83</v>
      </c>
      <c r="C50" s="17" t="s">
        <v>53</v>
      </c>
      <c r="D50" s="17" t="s">
        <v>84</v>
      </c>
      <c r="E50" s="17" t="s">
        <v>85</v>
      </c>
      <c r="F50" s="17" t="s">
        <v>86</v>
      </c>
      <c r="G50" s="17" t="s">
        <v>87</v>
      </c>
    </row>
    <row r="51" customFormat="false" ht="36" hidden="false" customHeight="true" outlineLevel="0" collapsed="false">
      <c r="A51" s="32" t="s">
        <v>190</v>
      </c>
      <c r="B51" s="6" t="s">
        <v>191</v>
      </c>
      <c r="C51" s="29" t="n">
        <v>0.5</v>
      </c>
      <c r="D51" s="6" t="s">
        <v>192</v>
      </c>
      <c r="E51" s="16" t="s">
        <v>193</v>
      </c>
      <c r="F51" s="16" t="s">
        <v>194</v>
      </c>
      <c r="G51" s="16" t="s">
        <v>195</v>
      </c>
    </row>
    <row r="52" customFormat="false" ht="36" hidden="false" customHeight="true" outlineLevel="0" collapsed="false">
      <c r="A52" s="32" t="s">
        <v>190</v>
      </c>
      <c r="B52" s="6" t="s">
        <v>196</v>
      </c>
      <c r="C52" s="29" t="n">
        <v>0.5</v>
      </c>
      <c r="D52" s="16" t="s">
        <v>197</v>
      </c>
      <c r="E52" s="16" t="s">
        <v>198</v>
      </c>
      <c r="F52" s="16" t="s">
        <v>199</v>
      </c>
      <c r="G52" s="16" t="s">
        <v>200</v>
      </c>
    </row>
    <row r="53" customFormat="false" ht="36" hidden="false" customHeight="true" outlineLevel="0" collapsed="false">
      <c r="A53" s="32"/>
      <c r="B53" s="6"/>
      <c r="C53" s="29"/>
      <c r="D53" s="6"/>
      <c r="E53" s="6"/>
      <c r="F53" s="6"/>
      <c r="G53" s="6"/>
    </row>
    <row r="54" customFormat="false" ht="36" hidden="false" customHeight="true" outlineLevel="0" collapsed="false">
      <c r="A54" s="32"/>
      <c r="B54" s="6"/>
      <c r="C54" s="29"/>
      <c r="D54" s="6"/>
      <c r="E54" s="6"/>
      <c r="F54" s="6"/>
      <c r="G54" s="6"/>
    </row>
    <row r="55" customFormat="false" ht="15" hidden="false" customHeight="false" outlineLevel="0" collapsed="false">
      <c r="B55" s="18" t="s">
        <v>70</v>
      </c>
      <c r="C55" s="20" t="n">
        <f aca="false">SUM(C51:C54)</f>
        <v>1</v>
      </c>
      <c r="D55" s="30" t="str">
        <f aca="false">IF($C$6="","",IF(MATCH($C$6,マスタ!$A$3:$A$8,0)&lt;4,"",IF(ROUND(C55,4)=1,"","KPIのウェイト合計が100%になっていません")))</f>
        <v/>
      </c>
      <c r="E55" s="30"/>
      <c r="F55" s="30"/>
      <c r="G55" s="30"/>
    </row>
    <row r="57" customFormat="false" ht="21.75" hidden="false" customHeight="true" outlineLevel="0" collapsed="false">
      <c r="A57" s="10" t="s">
        <v>88</v>
      </c>
      <c r="B57" s="10"/>
      <c r="C57" s="10"/>
      <c r="D57" s="10"/>
      <c r="E57" s="10"/>
      <c r="F57" s="10"/>
      <c r="G57" s="10"/>
    </row>
    <row r="58" customFormat="false" ht="60" hidden="false" customHeight="true" outlineLevel="0" collapsed="false">
      <c r="B58" s="2" t="s">
        <v>89</v>
      </c>
      <c r="C58" s="6"/>
      <c r="D58" s="6"/>
      <c r="E58" s="6"/>
      <c r="F58" s="6"/>
      <c r="G58" s="6"/>
    </row>
    <row r="59" customFormat="false" ht="60" hidden="false" customHeight="true" outlineLevel="0" collapsed="false">
      <c r="B59" s="2" t="s">
        <v>90</v>
      </c>
      <c r="C59" s="6"/>
      <c r="D59" s="6"/>
      <c r="E59" s="6"/>
      <c r="F59" s="6"/>
      <c r="G59" s="6"/>
    </row>
    <row r="61" customFormat="false" ht="21.75" hidden="false" customHeight="true" outlineLevel="0" collapsed="false">
      <c r="A61" s="10" t="s">
        <v>91</v>
      </c>
      <c r="B61" s="10"/>
      <c r="C61" s="10"/>
      <c r="D61" s="10"/>
      <c r="E61" s="10"/>
      <c r="F61" s="10"/>
      <c r="G61" s="10"/>
    </row>
    <row r="62" customFormat="false" ht="60" hidden="false" customHeight="true" outlineLevel="0" collapsed="false">
      <c r="B62" s="2" t="s">
        <v>92</v>
      </c>
      <c r="C62" s="6" t="s">
        <v>201</v>
      </c>
      <c r="D62" s="6"/>
      <c r="E62" s="6"/>
      <c r="F62" s="6"/>
      <c r="G62" s="6"/>
    </row>
    <row r="63" customFormat="false" ht="15" hidden="false" customHeight="false" outlineLevel="0" collapsed="false">
      <c r="B63" s="2" t="s">
        <v>93</v>
      </c>
      <c r="C63" s="31" t="n">
        <v>46330</v>
      </c>
      <c r="D63" s="31"/>
    </row>
  </sheetData>
  <mergeCells count="45">
    <mergeCell ref="A4:G4"/>
    <mergeCell ref="C5:E5"/>
    <mergeCell ref="C6:E6"/>
    <mergeCell ref="F6:G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A17:G17"/>
    <mergeCell ref="C18:G18"/>
    <mergeCell ref="A20:A24"/>
    <mergeCell ref="A25:A26"/>
    <mergeCell ref="A27:A28"/>
    <mergeCell ref="A30:A31"/>
    <mergeCell ref="A33:G33"/>
    <mergeCell ref="D34:G34"/>
    <mergeCell ref="C35:G35"/>
    <mergeCell ref="E36:G36"/>
    <mergeCell ref="A37:A41"/>
    <mergeCell ref="E37:G37"/>
    <mergeCell ref="E38:G38"/>
    <mergeCell ref="E39:G39"/>
    <mergeCell ref="E40:G40"/>
    <mergeCell ref="E41:G41"/>
    <mergeCell ref="A42:A43"/>
    <mergeCell ref="E42:G42"/>
    <mergeCell ref="E43:G43"/>
    <mergeCell ref="A44:A45"/>
    <mergeCell ref="E44:G44"/>
    <mergeCell ref="E45:G45"/>
    <mergeCell ref="E46:G46"/>
    <mergeCell ref="A48:G48"/>
    <mergeCell ref="C49:G49"/>
    <mergeCell ref="D55:G55"/>
    <mergeCell ref="A57:G57"/>
    <mergeCell ref="C58:G58"/>
    <mergeCell ref="C59:G59"/>
    <mergeCell ref="A61:G61"/>
    <mergeCell ref="C62:G62"/>
    <mergeCell ref="C63:D63"/>
  </mergeCells>
  <dataValidations count="3">
    <dataValidation allowBlank="true" errorStyle="stop" operator="between" showDropDown="false" showErrorMessage="false" showInputMessage="false" sqref="C6 C12 C34" type="list">
      <formula1>マスタ!$A$3:$A$8</formula1>
      <formula2>0</formula2>
    </dataValidation>
    <dataValidation allowBlank="true" errorStyle="stop" operator="between" showDropDown="false" showErrorMessage="false" showInputMessage="false" sqref="C9" type="list">
      <formula1>マスタ!$A$36:$A$41</formula1>
      <formula2>0</formula2>
    </dataValidation>
    <dataValidation allowBlank="true" errorStyle="stop" operator="between" showDropDown="false" showErrorMessage="false" showInputMessage="false" sqref="A51:A54" type="list">
      <formula1>マスタ!$A$45:$A$45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6" min="2" style="0" width="26"/>
    <col collapsed="false" customWidth="true" hidden="false" outlineLevel="0" max="9" min="7" style="0" width="30"/>
    <col collapsed="false" customWidth="true" hidden="false" outlineLevel="0" max="10" min="10" style="0" width="14"/>
  </cols>
  <sheetData>
    <row r="1" customFormat="false" ht="17.15" hidden="false" customHeight="false" outlineLevel="0" collapsed="false">
      <c r="A1" s="33" t="s">
        <v>202</v>
      </c>
    </row>
    <row r="2" customFormat="false" ht="28.35" hidden="false" customHeight="false" outlineLevel="0" collapsed="false">
      <c r="A2" s="17" t="s">
        <v>38</v>
      </c>
      <c r="B2" s="17" t="s">
        <v>203</v>
      </c>
      <c r="C2" s="17" t="s">
        <v>204</v>
      </c>
      <c r="D2" s="17" t="s">
        <v>205</v>
      </c>
      <c r="E2" s="17" t="s">
        <v>206</v>
      </c>
      <c r="F2" s="27" t="s">
        <v>207</v>
      </c>
      <c r="G2" s="17" t="s">
        <v>208</v>
      </c>
      <c r="H2" s="17" t="s">
        <v>209</v>
      </c>
      <c r="I2" s="27" t="s">
        <v>210</v>
      </c>
      <c r="J2" s="17" t="s">
        <v>211</v>
      </c>
    </row>
    <row r="3" customFormat="false" ht="29.1" hidden="false" customHeight="false" outlineLevel="0" collapsed="false">
      <c r="A3" s="4" t="s">
        <v>96</v>
      </c>
      <c r="B3" s="3" t="s">
        <v>212</v>
      </c>
      <c r="C3" s="4" t="s">
        <v>213</v>
      </c>
      <c r="D3" s="3" t="s">
        <v>214</v>
      </c>
      <c r="E3" s="4" t="s">
        <v>215</v>
      </c>
      <c r="F3" s="4" t="s">
        <v>216</v>
      </c>
      <c r="G3" s="4" t="s">
        <v>217</v>
      </c>
      <c r="H3" s="3" t="s">
        <v>218</v>
      </c>
      <c r="I3" s="3" t="s">
        <v>219</v>
      </c>
      <c r="J3" s="34" t="n">
        <v>1</v>
      </c>
    </row>
    <row r="4" customFormat="false" ht="29.1" hidden="false" customHeight="false" outlineLevel="0" collapsed="false">
      <c r="A4" s="4" t="s">
        <v>131</v>
      </c>
      <c r="B4" s="3" t="s">
        <v>220</v>
      </c>
      <c r="C4" s="4" t="s">
        <v>221</v>
      </c>
      <c r="D4" s="3" t="s">
        <v>222</v>
      </c>
      <c r="E4" s="4" t="s">
        <v>223</v>
      </c>
      <c r="F4" s="4" t="s">
        <v>224</v>
      </c>
      <c r="G4" s="4" t="s">
        <v>225</v>
      </c>
      <c r="H4" s="3" t="s">
        <v>226</v>
      </c>
      <c r="I4" s="3" t="s">
        <v>219</v>
      </c>
      <c r="J4" s="34" t="n">
        <v>1</v>
      </c>
    </row>
    <row r="5" customFormat="false" ht="29.85" hidden="false" customHeight="false" outlineLevel="0" collapsed="false">
      <c r="A5" s="4" t="s">
        <v>227</v>
      </c>
      <c r="B5" s="3" t="s">
        <v>228</v>
      </c>
      <c r="C5" s="4" t="s">
        <v>229</v>
      </c>
      <c r="D5" s="3" t="s">
        <v>230</v>
      </c>
      <c r="E5" s="4" t="s">
        <v>231</v>
      </c>
      <c r="F5" s="4" t="s">
        <v>232</v>
      </c>
      <c r="G5" s="4" t="s">
        <v>233</v>
      </c>
      <c r="H5" s="4" t="s">
        <v>234</v>
      </c>
      <c r="I5" s="3" t="s">
        <v>219</v>
      </c>
      <c r="J5" s="34" t="n">
        <v>1</v>
      </c>
    </row>
    <row r="6" customFormat="false" ht="15" hidden="false" customHeight="false" outlineLevel="0" collapsed="false">
      <c r="A6" s="4" t="s">
        <v>99</v>
      </c>
      <c r="B6" s="3" t="s">
        <v>235</v>
      </c>
      <c r="C6" s="4" t="s">
        <v>236</v>
      </c>
      <c r="D6" s="3" t="s">
        <v>237</v>
      </c>
      <c r="E6" s="4" t="s">
        <v>238</v>
      </c>
      <c r="F6" s="4" t="s">
        <v>236</v>
      </c>
      <c r="G6" s="4" t="s">
        <v>239</v>
      </c>
      <c r="H6" s="4" t="s">
        <v>240</v>
      </c>
      <c r="I6" s="3" t="s">
        <v>241</v>
      </c>
      <c r="J6" s="34" t="n">
        <v>0.7</v>
      </c>
    </row>
    <row r="7" customFormat="false" ht="41.75" hidden="false" customHeight="false" outlineLevel="0" collapsed="false">
      <c r="A7" s="4" t="s">
        <v>179</v>
      </c>
      <c r="B7" s="3" t="s">
        <v>242</v>
      </c>
      <c r="C7" s="4" t="s">
        <v>243</v>
      </c>
      <c r="D7" s="3" t="s">
        <v>244</v>
      </c>
      <c r="E7" s="4" t="s">
        <v>245</v>
      </c>
      <c r="F7" s="4" t="s">
        <v>246</v>
      </c>
      <c r="G7" s="3" t="s">
        <v>247</v>
      </c>
      <c r="H7" s="3" t="s">
        <v>248</v>
      </c>
      <c r="I7" s="3" t="s">
        <v>241</v>
      </c>
      <c r="J7" s="34" t="n">
        <v>0.7</v>
      </c>
    </row>
    <row r="8" customFormat="false" ht="29.1" hidden="false" customHeight="false" outlineLevel="0" collapsed="false">
      <c r="A8" s="4" t="s">
        <v>147</v>
      </c>
      <c r="B8" s="3" t="s">
        <v>249</v>
      </c>
      <c r="C8" s="4" t="s">
        <v>250</v>
      </c>
      <c r="D8" s="3" t="s">
        <v>251</v>
      </c>
      <c r="E8" s="4" t="s">
        <v>252</v>
      </c>
      <c r="F8" s="4" t="s">
        <v>250</v>
      </c>
      <c r="G8" s="4" t="s">
        <v>253</v>
      </c>
      <c r="H8" s="3" t="s">
        <v>254</v>
      </c>
      <c r="I8" s="3" t="s">
        <v>241</v>
      </c>
      <c r="J8" s="34" t="n">
        <v>0.7</v>
      </c>
    </row>
    <row r="9" customFormat="false" ht="15" hidden="false" customHeight="false" outlineLevel="0" collapsed="false">
      <c r="A9" s="9" t="s">
        <v>255</v>
      </c>
    </row>
    <row r="11" customFormat="false" ht="15" hidden="false" customHeight="false" outlineLevel="0" collapsed="false">
      <c r="A11" s="17" t="s">
        <v>52</v>
      </c>
      <c r="B11" s="27" t="s">
        <v>96</v>
      </c>
      <c r="C11" s="27" t="s">
        <v>131</v>
      </c>
      <c r="D11" s="27" t="s">
        <v>227</v>
      </c>
      <c r="E11" s="27" t="s">
        <v>99</v>
      </c>
      <c r="F11" s="27" t="s">
        <v>179</v>
      </c>
      <c r="G11" s="27" t="s">
        <v>147</v>
      </c>
      <c r="H11" s="17" t="s">
        <v>51</v>
      </c>
    </row>
    <row r="12" customFormat="false" ht="15" hidden="false" customHeight="false" outlineLevel="0" collapsed="false">
      <c r="A12" s="3" t="s">
        <v>59</v>
      </c>
      <c r="B12" s="35" t="n">
        <v>0.2</v>
      </c>
      <c r="C12" s="35" t="n">
        <v>0.2</v>
      </c>
      <c r="D12" s="35" t="n">
        <v>0.2</v>
      </c>
      <c r="E12" s="35" t="n">
        <v>0.15</v>
      </c>
      <c r="F12" s="35" t="n">
        <v>0.15</v>
      </c>
      <c r="G12" s="35" t="n">
        <v>0.1</v>
      </c>
      <c r="H12" s="3" t="s">
        <v>58</v>
      </c>
    </row>
    <row r="13" customFormat="false" ht="28.35" hidden="false" customHeight="false" outlineLevel="0" collapsed="false">
      <c r="A13" s="3" t="s">
        <v>60</v>
      </c>
      <c r="B13" s="35" t="n">
        <v>0.2</v>
      </c>
      <c r="C13" s="35" t="n">
        <v>0.2</v>
      </c>
      <c r="D13" s="35" t="n">
        <v>0.2</v>
      </c>
      <c r="E13" s="35" t="n">
        <v>0.15</v>
      </c>
      <c r="F13" s="35" t="n">
        <v>0.15</v>
      </c>
      <c r="G13" s="35" t="n">
        <v>0.1</v>
      </c>
      <c r="H13" s="3" t="s">
        <v>58</v>
      </c>
    </row>
    <row r="14" customFormat="false" ht="15" hidden="false" customHeight="false" outlineLevel="0" collapsed="false">
      <c r="A14" s="3" t="s">
        <v>61</v>
      </c>
      <c r="B14" s="35" t="n">
        <v>0.1</v>
      </c>
      <c r="C14" s="35" t="n">
        <v>0.1</v>
      </c>
      <c r="D14" s="35" t="n">
        <v>0.1</v>
      </c>
      <c r="E14" s="35" t="n">
        <v>0.08</v>
      </c>
      <c r="F14" s="35" t="n">
        <v>0.08</v>
      </c>
      <c r="G14" s="35" t="n">
        <v>0.05</v>
      </c>
      <c r="H14" s="3" t="s">
        <v>58</v>
      </c>
    </row>
    <row r="15" customFormat="false" ht="15" hidden="false" customHeight="false" outlineLevel="0" collapsed="false">
      <c r="A15" s="3" t="s">
        <v>62</v>
      </c>
      <c r="B15" s="35" t="n">
        <v>0.1</v>
      </c>
      <c r="C15" s="35" t="n">
        <v>0.1</v>
      </c>
      <c r="D15" s="35" t="n">
        <v>0.1</v>
      </c>
      <c r="E15" s="35" t="n">
        <v>0.07</v>
      </c>
      <c r="F15" s="35" t="n">
        <v>0.07</v>
      </c>
      <c r="G15" s="35" t="n">
        <v>0.05</v>
      </c>
      <c r="H15" s="3" t="s">
        <v>58</v>
      </c>
    </row>
    <row r="16" customFormat="false" ht="15" hidden="false" customHeight="false" outlineLevel="0" collapsed="false">
      <c r="A16" s="3" t="s">
        <v>63</v>
      </c>
      <c r="B16" s="35" t="n">
        <v>0</v>
      </c>
      <c r="C16" s="35" t="n">
        <v>0</v>
      </c>
      <c r="D16" s="35" t="n">
        <v>0</v>
      </c>
      <c r="E16" s="35" t="n">
        <v>0.1</v>
      </c>
      <c r="F16" s="35" t="n">
        <v>0.1</v>
      </c>
      <c r="G16" s="35" t="n">
        <v>0.15</v>
      </c>
      <c r="H16" s="3" t="s">
        <v>58</v>
      </c>
    </row>
    <row r="17" customFormat="false" ht="28.35" hidden="false" customHeight="false" outlineLevel="0" collapsed="false">
      <c r="A17" s="3" t="s">
        <v>65</v>
      </c>
      <c r="B17" s="35" t="n">
        <v>0.1</v>
      </c>
      <c r="C17" s="35" t="n">
        <v>0.1</v>
      </c>
      <c r="D17" s="35" t="n">
        <v>0.1</v>
      </c>
      <c r="E17" s="35" t="n">
        <v>0.1</v>
      </c>
      <c r="F17" s="35" t="n">
        <v>0.1</v>
      </c>
      <c r="G17" s="35" t="n">
        <v>0.1</v>
      </c>
      <c r="H17" s="3" t="s">
        <v>64</v>
      </c>
    </row>
    <row r="18" customFormat="false" ht="15" hidden="false" customHeight="false" outlineLevel="0" collapsed="false">
      <c r="A18" s="3" t="s">
        <v>66</v>
      </c>
      <c r="B18" s="35" t="n">
        <v>0.1</v>
      </c>
      <c r="C18" s="35" t="n">
        <v>0.1</v>
      </c>
      <c r="D18" s="35" t="n">
        <v>0.1</v>
      </c>
      <c r="E18" s="35" t="n">
        <v>0.1</v>
      </c>
      <c r="F18" s="35" t="n">
        <v>0.1</v>
      </c>
      <c r="G18" s="35" t="n">
        <v>0.1</v>
      </c>
      <c r="H18" s="3" t="s">
        <v>64</v>
      </c>
    </row>
    <row r="19" customFormat="false" ht="15" hidden="false" customHeight="false" outlineLevel="0" collapsed="false">
      <c r="A19" s="3" t="s">
        <v>68</v>
      </c>
      <c r="B19" s="35" t="n">
        <v>0.1</v>
      </c>
      <c r="C19" s="35" t="n">
        <v>0.1</v>
      </c>
      <c r="D19" s="35" t="n">
        <v>0.1</v>
      </c>
      <c r="E19" s="35" t="n">
        <v>0.15</v>
      </c>
      <c r="F19" s="35" t="n">
        <v>0.15</v>
      </c>
      <c r="G19" s="35" t="n">
        <v>0.15</v>
      </c>
      <c r="H19" s="3" t="s">
        <v>67</v>
      </c>
    </row>
    <row r="20" customFormat="false" ht="15" hidden="false" customHeight="false" outlineLevel="0" collapsed="false">
      <c r="A20" s="3" t="s">
        <v>69</v>
      </c>
      <c r="B20" s="35" t="n">
        <v>0.1</v>
      </c>
      <c r="C20" s="35" t="n">
        <v>0.1</v>
      </c>
      <c r="D20" s="35" t="n">
        <v>0.1</v>
      </c>
      <c r="E20" s="35" t="n">
        <v>0.1</v>
      </c>
      <c r="F20" s="35" t="n">
        <v>0.1</v>
      </c>
      <c r="G20" s="35" t="n">
        <v>0.2</v>
      </c>
      <c r="H20" s="3" t="s">
        <v>67</v>
      </c>
    </row>
    <row r="21" customFormat="false" ht="15" hidden="false" customHeight="false" outlineLevel="0" collapsed="false">
      <c r="A21" s="18" t="s">
        <v>70</v>
      </c>
      <c r="B21" s="36" t="n">
        <f aca="false">SUM(B12:B20)</f>
        <v>1</v>
      </c>
      <c r="C21" s="36" t="n">
        <f aca="false">SUM(C12:C20)</f>
        <v>1</v>
      </c>
      <c r="D21" s="36" t="n">
        <f aca="false">SUM(D12:D20)</f>
        <v>1</v>
      </c>
      <c r="E21" s="36" t="n">
        <f aca="false">SUM(E12:E20)</f>
        <v>1</v>
      </c>
      <c r="F21" s="36" t="n">
        <f aca="false">SUM(F12:F20)</f>
        <v>1</v>
      </c>
      <c r="G21" s="36" t="n">
        <f aca="false">SUM(G12:G20)</f>
        <v>1</v>
      </c>
    </row>
    <row r="22" customFormat="false" ht="15" hidden="false" customHeight="false" outlineLevel="0" collapsed="false">
      <c r="A22" s="9" t="s">
        <v>256</v>
      </c>
    </row>
    <row r="23" customFormat="false" ht="42.5" hidden="false" customHeight="false" outlineLevel="0" collapsed="false">
      <c r="A23" s="17" t="s">
        <v>52</v>
      </c>
      <c r="B23" s="27" t="s">
        <v>257</v>
      </c>
      <c r="C23" s="27" t="s">
        <v>258</v>
      </c>
      <c r="D23" s="27" t="s">
        <v>259</v>
      </c>
      <c r="E23" s="27" t="s">
        <v>260</v>
      </c>
      <c r="F23" s="27" t="s">
        <v>261</v>
      </c>
      <c r="G23" s="27" t="s">
        <v>262</v>
      </c>
    </row>
    <row r="24" customFormat="false" ht="28.35" hidden="false" customHeight="false" outlineLevel="0" collapsed="false">
      <c r="A24" s="3" t="s">
        <v>59</v>
      </c>
      <c r="B24" s="3" t="s">
        <v>263</v>
      </c>
      <c r="C24" s="3" t="s">
        <v>264</v>
      </c>
      <c r="D24" s="3" t="s">
        <v>265</v>
      </c>
      <c r="E24" s="3" t="s">
        <v>266</v>
      </c>
      <c r="F24" s="3" t="s">
        <v>267</v>
      </c>
      <c r="G24" s="3" t="s">
        <v>268</v>
      </c>
    </row>
    <row r="25" customFormat="false" ht="28.35" hidden="false" customHeight="false" outlineLevel="0" collapsed="false">
      <c r="A25" s="3" t="s">
        <v>60</v>
      </c>
      <c r="B25" s="3" t="s">
        <v>269</v>
      </c>
      <c r="C25" s="3" t="s">
        <v>270</v>
      </c>
      <c r="D25" s="3" t="s">
        <v>271</v>
      </c>
      <c r="E25" s="3" t="s">
        <v>272</v>
      </c>
      <c r="F25" s="3" t="s">
        <v>273</v>
      </c>
      <c r="G25" s="3" t="s">
        <v>274</v>
      </c>
    </row>
    <row r="26" customFormat="false" ht="28.35" hidden="false" customHeight="false" outlineLevel="0" collapsed="false">
      <c r="A26" s="3" t="s">
        <v>61</v>
      </c>
      <c r="B26" s="3" t="s">
        <v>275</v>
      </c>
      <c r="C26" s="3" t="s">
        <v>276</v>
      </c>
      <c r="D26" s="3" t="s">
        <v>277</v>
      </c>
      <c r="E26" s="3" t="s">
        <v>278</v>
      </c>
      <c r="F26" s="3" t="s">
        <v>279</v>
      </c>
      <c r="G26" s="3" t="s">
        <v>280</v>
      </c>
    </row>
    <row r="27" customFormat="false" ht="28.35" hidden="false" customHeight="false" outlineLevel="0" collapsed="false">
      <c r="A27" s="3" t="s">
        <v>62</v>
      </c>
      <c r="B27" s="3" t="s">
        <v>281</v>
      </c>
      <c r="C27" s="3" t="s">
        <v>282</v>
      </c>
      <c r="D27" s="3" t="s">
        <v>283</v>
      </c>
      <c r="E27" s="3" t="s">
        <v>284</v>
      </c>
      <c r="F27" s="3" t="s">
        <v>285</v>
      </c>
      <c r="G27" s="3" t="s">
        <v>286</v>
      </c>
    </row>
    <row r="28" customFormat="false" ht="28.35" hidden="false" customHeight="false" outlineLevel="0" collapsed="false">
      <c r="A28" s="3" t="s">
        <v>63</v>
      </c>
      <c r="B28" s="3" t="s">
        <v>287</v>
      </c>
      <c r="C28" s="3" t="s">
        <v>287</v>
      </c>
      <c r="D28" s="3" t="s">
        <v>287</v>
      </c>
      <c r="E28" s="3" t="s">
        <v>288</v>
      </c>
      <c r="F28" s="3" t="s">
        <v>289</v>
      </c>
      <c r="G28" s="3" t="s">
        <v>290</v>
      </c>
    </row>
    <row r="29" customFormat="false" ht="29.1" hidden="false" customHeight="false" outlineLevel="0" collapsed="false">
      <c r="A29" s="3" t="s">
        <v>65</v>
      </c>
      <c r="B29" s="3" t="s">
        <v>291</v>
      </c>
      <c r="C29" s="3" t="s">
        <v>292</v>
      </c>
      <c r="D29" s="4" t="s">
        <v>293</v>
      </c>
      <c r="E29" s="3" t="s">
        <v>294</v>
      </c>
      <c r="F29" s="3" t="s">
        <v>295</v>
      </c>
      <c r="G29" s="4" t="s">
        <v>296</v>
      </c>
    </row>
    <row r="30" customFormat="false" ht="29.1" hidden="false" customHeight="false" outlineLevel="0" collapsed="false">
      <c r="A30" s="3" t="s">
        <v>66</v>
      </c>
      <c r="B30" s="3" t="s">
        <v>297</v>
      </c>
      <c r="C30" s="3" t="s">
        <v>298</v>
      </c>
      <c r="D30" s="3" t="s">
        <v>299</v>
      </c>
      <c r="E30" s="3" t="s">
        <v>300</v>
      </c>
      <c r="F30" s="3" t="s">
        <v>301</v>
      </c>
      <c r="G30" s="3" t="s">
        <v>302</v>
      </c>
    </row>
    <row r="31" customFormat="false" ht="28.35" hidden="false" customHeight="false" outlineLevel="0" collapsed="false">
      <c r="A31" s="3" t="s">
        <v>68</v>
      </c>
      <c r="B31" s="3" t="s">
        <v>303</v>
      </c>
      <c r="C31" s="3" t="s">
        <v>304</v>
      </c>
      <c r="D31" s="3" t="s">
        <v>305</v>
      </c>
      <c r="E31" s="3" t="s">
        <v>306</v>
      </c>
      <c r="F31" s="3" t="s">
        <v>307</v>
      </c>
      <c r="G31" s="3" t="s">
        <v>308</v>
      </c>
    </row>
    <row r="32" customFormat="false" ht="29.1" hidden="false" customHeight="false" outlineLevel="0" collapsed="false">
      <c r="A32" s="3" t="s">
        <v>69</v>
      </c>
      <c r="B32" s="3" t="s">
        <v>309</v>
      </c>
      <c r="C32" s="3" t="s">
        <v>310</v>
      </c>
      <c r="D32" s="3" t="s">
        <v>311</v>
      </c>
      <c r="E32" s="3" t="s">
        <v>312</v>
      </c>
      <c r="F32" s="4" t="s">
        <v>313</v>
      </c>
      <c r="G32" s="3" t="s">
        <v>314</v>
      </c>
    </row>
    <row r="33" customFormat="false" ht="15" hidden="false" customHeight="false" outlineLevel="0" collapsed="false">
      <c r="A33" s="9" t="s">
        <v>315</v>
      </c>
    </row>
    <row r="35" customFormat="false" ht="28.35" hidden="false" customHeight="false" outlineLevel="0" collapsed="false">
      <c r="A35" s="17" t="s">
        <v>316</v>
      </c>
      <c r="B35" s="17" t="s">
        <v>317</v>
      </c>
      <c r="C35" s="27" t="s">
        <v>96</v>
      </c>
      <c r="D35" s="27" t="s">
        <v>131</v>
      </c>
      <c r="E35" s="27" t="s">
        <v>227</v>
      </c>
      <c r="F35" s="27" t="s">
        <v>99</v>
      </c>
      <c r="G35" s="27" t="s">
        <v>179</v>
      </c>
      <c r="H35" s="27" t="s">
        <v>147</v>
      </c>
    </row>
    <row r="36" customFormat="false" ht="15" hidden="false" customHeight="false" outlineLevel="0" collapsed="false">
      <c r="A36" s="3" t="s">
        <v>97</v>
      </c>
      <c r="B36" s="37" t="s">
        <v>318</v>
      </c>
      <c r="C36" s="3" t="s">
        <v>319</v>
      </c>
      <c r="D36" s="3" t="s">
        <v>320</v>
      </c>
      <c r="E36" s="3" t="s">
        <v>321</v>
      </c>
      <c r="F36" s="3" t="s">
        <v>322</v>
      </c>
      <c r="G36" s="3" t="s">
        <v>323</v>
      </c>
      <c r="H36" s="3" t="s">
        <v>324</v>
      </c>
    </row>
    <row r="37" customFormat="false" ht="28.35" hidden="false" customHeight="false" outlineLevel="0" collapsed="false">
      <c r="A37" s="3" t="s">
        <v>325</v>
      </c>
      <c r="B37" s="37" t="s">
        <v>326</v>
      </c>
      <c r="C37" s="3" t="s">
        <v>327</v>
      </c>
      <c r="D37" s="3" t="s">
        <v>328</v>
      </c>
      <c r="E37" s="3" t="s">
        <v>329</v>
      </c>
      <c r="F37" s="3" t="s">
        <v>330</v>
      </c>
      <c r="G37" s="4" t="s">
        <v>331</v>
      </c>
      <c r="H37" s="3" t="s">
        <v>332</v>
      </c>
    </row>
    <row r="38" customFormat="false" ht="28.35" hidden="false" customHeight="false" outlineLevel="0" collapsed="false">
      <c r="A38" s="3" t="s">
        <v>333</v>
      </c>
      <c r="B38" s="37" t="s">
        <v>334</v>
      </c>
      <c r="C38" s="3" t="s">
        <v>335</v>
      </c>
      <c r="D38" s="3" t="s">
        <v>336</v>
      </c>
      <c r="E38" s="3" t="s">
        <v>337</v>
      </c>
      <c r="F38" s="3" t="s">
        <v>338</v>
      </c>
      <c r="G38" s="3" t="s">
        <v>339</v>
      </c>
      <c r="H38" s="3" t="s">
        <v>340</v>
      </c>
    </row>
    <row r="39" customFormat="false" ht="29.1" hidden="false" customHeight="false" outlineLevel="0" collapsed="false">
      <c r="A39" s="3" t="s">
        <v>341</v>
      </c>
      <c r="B39" s="37" t="s">
        <v>342</v>
      </c>
      <c r="C39" s="3" t="s">
        <v>343</v>
      </c>
      <c r="D39" s="3" t="s">
        <v>344</v>
      </c>
      <c r="E39" s="3" t="s">
        <v>345</v>
      </c>
      <c r="F39" s="3" t="s">
        <v>346</v>
      </c>
      <c r="G39" s="3" t="s">
        <v>347</v>
      </c>
      <c r="H39" s="3" t="s">
        <v>348</v>
      </c>
    </row>
    <row r="40" customFormat="false" ht="29.85" hidden="false" customHeight="false" outlineLevel="0" collapsed="false">
      <c r="A40" s="4" t="s">
        <v>349</v>
      </c>
      <c r="B40" s="37" t="s">
        <v>350</v>
      </c>
      <c r="C40" s="3" t="s">
        <v>351</v>
      </c>
      <c r="D40" s="4" t="s">
        <v>352</v>
      </c>
      <c r="E40" s="4" t="s">
        <v>353</v>
      </c>
      <c r="F40" s="3" t="s">
        <v>354</v>
      </c>
      <c r="G40" s="4" t="s">
        <v>355</v>
      </c>
      <c r="H40" s="4" t="s">
        <v>356</v>
      </c>
    </row>
    <row r="41" customFormat="false" ht="29.1" hidden="false" customHeight="false" outlineLevel="0" collapsed="false">
      <c r="A41" s="3" t="s">
        <v>145</v>
      </c>
      <c r="B41" s="37" t="s">
        <v>357</v>
      </c>
      <c r="C41" s="3" t="s">
        <v>358</v>
      </c>
      <c r="D41" s="4" t="s">
        <v>359</v>
      </c>
      <c r="E41" s="4" t="s">
        <v>360</v>
      </c>
      <c r="F41" s="4" t="s">
        <v>361</v>
      </c>
      <c r="G41" s="3" t="s">
        <v>362</v>
      </c>
      <c r="H41" s="3" t="s">
        <v>363</v>
      </c>
    </row>
    <row r="42" customFormat="false" ht="15" hidden="false" customHeight="false" outlineLevel="0" collapsed="false">
      <c r="A42" s="9" t="s">
        <v>364</v>
      </c>
    </row>
    <row r="44" customFormat="false" ht="15" hidden="false" customHeight="false" outlineLevel="0" collapsed="false">
      <c r="A44" s="38" t="s">
        <v>365</v>
      </c>
    </row>
    <row r="45" customFormat="false" ht="15" hidden="false" customHeight="false" outlineLevel="0" collapsed="false">
      <c r="A45" s="39" t="s">
        <v>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2026-10-22T05:47:12Z</dcterms:created>
  <dc:creator>openpyxl</dc:creator>
  <dc:description/>
  <dc:language>en-US</dc:language>
  <cp:lastModifiedBy/>
  <dcterms:modified xsi:type="dcterms:W3CDTF">2026-10-22T05:47:12Z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