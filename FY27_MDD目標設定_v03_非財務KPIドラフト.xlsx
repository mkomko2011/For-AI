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intloop365.sharepoint.com/sites/INTSCorpPlanningKoide_/Shared Documents/INTS HR Team/03_評価制度/FY27目標設定/"/>
    </mc:Choice>
  </mc:AlternateContent>
  <xr:revisionPtr revIDLastSave="0" documentId="13_ncr:1_{74B9AD35-907A-4043-B753-1F5628FAC26B}" xr6:coauthVersionLast="47" xr6:coauthVersionMax="47" xr10:uidLastSave="{00000000-0000-0000-0000-000000000000}"/>
  <bookViews>
    <workbookView xWindow="1935" yWindow="-15495" windowWidth="16785" windowHeight="12600" tabRatio="500" firstSheet="2" activeTab="3" xr2:uid="{00000000-000D-0000-FFFF-FFFF00000000}"/>
  </bookViews>
  <sheets>
    <sheet name="FY26アーカイブ" sheetId="1" r:id="rId1"/>
    <sheet name="論点・確認事項" sheetId="2" r:id="rId2"/>
    <sheet name="FY27目標設定" sheetId="3" r:id="rId3"/>
    <sheet name="FY27目標設定_70億ベース" sheetId="5" r:id="rId4"/>
    <sheet name="Practice別" sheetId="6" r:id="rId5"/>
    <sheet name="月次バックデータ"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18" i="5" l="1"/>
  <c r="W17" i="5"/>
  <c r="W16" i="5"/>
  <c r="X16" i="5" s="1"/>
  <c r="W15" i="5"/>
  <c r="W14" i="5"/>
  <c r="W13" i="5"/>
  <c r="X13" i="5" s="1"/>
  <c r="W12" i="5"/>
  <c r="X12" i="5" s="1"/>
  <c r="S23" i="5"/>
  <c r="W24" i="5" s="1"/>
  <c r="X24" i="5" s="1"/>
  <c r="S24" i="5"/>
  <c r="S6" i="5"/>
  <c r="W7" i="5" s="1"/>
  <c r="S7" i="5"/>
  <c r="S8" i="5"/>
  <c r="W8" i="5" s="1"/>
  <c r="X8" i="5" s="1"/>
  <c r="S9" i="5"/>
  <c r="W9" i="5" s="1"/>
  <c r="S10" i="5"/>
  <c r="W10" i="5" s="1"/>
  <c r="X10" i="5" s="1"/>
  <c r="S11" i="5"/>
  <c r="S12" i="5"/>
  <c r="S13" i="5"/>
  <c r="S14" i="5"/>
  <c r="S15" i="5"/>
  <c r="S16" i="5"/>
  <c r="S17" i="5"/>
  <c r="S18" i="5"/>
  <c r="W20" i="5" s="1"/>
  <c r="S19" i="5"/>
  <c r="S20" i="5"/>
  <c r="S21" i="5"/>
  <c r="W21" i="5" s="1"/>
  <c r="S22" i="5"/>
  <c r="W22" i="5" s="1"/>
  <c r="S5" i="5"/>
  <c r="W5" i="5" s="1"/>
  <c r="X11" i="5"/>
  <c r="V15" i="5"/>
  <c r="V14" i="5"/>
  <c r="Y14" i="5" s="1"/>
  <c r="V23" i="5"/>
  <c r="Y23" i="5" s="1"/>
  <c r="V22" i="5"/>
  <c r="Y22" i="5" s="1"/>
  <c r="V21" i="5"/>
  <c r="Y21" i="5" s="1"/>
  <c r="V20" i="5"/>
  <c r="Y20" i="5" s="1"/>
  <c r="V19" i="5"/>
  <c r="Y19" i="5" s="1"/>
  <c r="V18" i="5"/>
  <c r="Y18" i="5" s="1"/>
  <c r="V17" i="5"/>
  <c r="Y17" i="5" s="1"/>
  <c r="V16" i="5"/>
  <c r="Y16" i="5" s="1"/>
  <c r="V13" i="5"/>
  <c r="Y13" i="5" s="1"/>
  <c r="V12" i="5"/>
  <c r="Y12" i="5" s="1"/>
  <c r="V10" i="5"/>
  <c r="Y10" i="5" s="1"/>
  <c r="V9" i="5"/>
  <c r="Y9" i="5" s="1"/>
  <c r="V8" i="5"/>
  <c r="Y8" i="5" s="1"/>
  <c r="V7" i="5"/>
  <c r="V6" i="5"/>
  <c r="Y6" i="5" s="1"/>
  <c r="V5" i="5"/>
  <c r="Y5" i="5" s="1"/>
  <c r="AP23" i="5"/>
  <c r="AO23" i="5"/>
  <c r="AN23" i="5"/>
  <c r="AK23" i="5"/>
  <c r="AJ23" i="5"/>
  <c r="AI23" i="5"/>
  <c r="R23" i="5"/>
  <c r="Q23" i="5"/>
  <c r="P23" i="5"/>
  <c r="O23" i="5"/>
  <c r="N23" i="5"/>
  <c r="M23" i="5"/>
  <c r="AP22" i="5"/>
  <c r="AO22" i="5"/>
  <c r="AN22" i="5"/>
  <c r="AM22" i="5"/>
  <c r="AL22" i="5"/>
  <c r="AK22" i="5"/>
  <c r="AJ22" i="5"/>
  <c r="AI22" i="5"/>
  <c r="R22" i="5"/>
  <c r="Q22" i="5"/>
  <c r="P22" i="5"/>
  <c r="O22" i="5"/>
  <c r="N22" i="5"/>
  <c r="M22" i="5"/>
  <c r="AP21" i="5"/>
  <c r="AO21" i="5"/>
  <c r="AN21" i="5"/>
  <c r="AM21" i="5"/>
  <c r="AL21" i="5"/>
  <c r="AK21" i="5"/>
  <c r="AJ21" i="5"/>
  <c r="AI21" i="5"/>
  <c r="R21" i="5"/>
  <c r="Q21" i="5"/>
  <c r="P21" i="5"/>
  <c r="O21" i="5"/>
  <c r="N21" i="5"/>
  <c r="M21" i="5"/>
  <c r="AP20" i="5"/>
  <c r="AO20" i="5"/>
  <c r="AN20" i="5"/>
  <c r="R20" i="5"/>
  <c r="Q20" i="5"/>
  <c r="P20" i="5"/>
  <c r="AP19" i="5"/>
  <c r="AO19" i="5"/>
  <c r="AN19" i="5"/>
  <c r="AM19" i="5"/>
  <c r="AL19" i="5"/>
  <c r="R19" i="5"/>
  <c r="Q19" i="5"/>
  <c r="P19" i="5"/>
  <c r="AP18" i="5"/>
  <c r="AO18" i="5"/>
  <c r="AN18" i="5"/>
  <c r="AM18" i="5"/>
  <c r="AL18" i="5"/>
  <c r="AK18" i="5"/>
  <c r="AJ18" i="5"/>
  <c r="AI18" i="5"/>
  <c r="R18" i="5"/>
  <c r="Q18" i="5"/>
  <c r="P18" i="5"/>
  <c r="O18" i="5"/>
  <c r="N18" i="5"/>
  <c r="M18" i="5"/>
  <c r="AP17" i="5"/>
  <c r="AO17" i="5"/>
  <c r="AN17" i="5"/>
  <c r="AM17" i="5"/>
  <c r="AL17" i="5"/>
  <c r="R17" i="5"/>
  <c r="Q17" i="5"/>
  <c r="P17" i="5"/>
  <c r="AP16" i="5"/>
  <c r="AO16" i="5"/>
  <c r="AN16" i="5"/>
  <c r="AM16" i="5"/>
  <c r="AL16" i="5"/>
  <c r="R16" i="5"/>
  <c r="Q16" i="5"/>
  <c r="P16" i="5"/>
  <c r="AM15" i="5"/>
  <c r="AL15" i="5"/>
  <c r="R15" i="5"/>
  <c r="Q15" i="5"/>
  <c r="P15" i="5"/>
  <c r="AP14" i="5"/>
  <c r="AO14" i="5"/>
  <c r="AN14" i="5"/>
  <c r="AM14" i="5"/>
  <c r="AL14" i="5"/>
  <c r="AK14" i="5"/>
  <c r="AJ14" i="5"/>
  <c r="AI14" i="5"/>
  <c r="R14" i="5"/>
  <c r="Q14" i="5"/>
  <c r="P14" i="5"/>
  <c r="O14" i="5"/>
  <c r="N14" i="5"/>
  <c r="M14" i="5"/>
  <c r="AP13" i="5"/>
  <c r="AO13" i="5"/>
  <c r="AN13" i="5"/>
  <c r="AM13" i="5"/>
  <c r="AL13" i="5"/>
  <c r="AK13" i="5"/>
  <c r="AJ13" i="5"/>
  <c r="AI13" i="5"/>
  <c r="R13" i="5"/>
  <c r="Q13" i="5"/>
  <c r="P13" i="5"/>
  <c r="O13" i="5"/>
  <c r="N13" i="5"/>
  <c r="M13" i="5"/>
  <c r="AP12" i="5"/>
  <c r="AO12" i="5"/>
  <c r="AN12" i="5"/>
  <c r="AK12" i="5"/>
  <c r="AJ12" i="5"/>
  <c r="AI12" i="5"/>
  <c r="R12" i="5"/>
  <c r="Q12" i="5"/>
  <c r="P12" i="5"/>
  <c r="O12" i="5"/>
  <c r="N12" i="5"/>
  <c r="M12" i="5"/>
  <c r="AP11" i="5"/>
  <c r="AO11" i="5"/>
  <c r="AN11" i="5"/>
  <c r="AP10" i="5"/>
  <c r="AO10" i="5"/>
  <c r="AN10" i="5"/>
  <c r="AM10" i="5"/>
  <c r="AL10" i="5"/>
  <c r="AK10" i="5"/>
  <c r="AJ10" i="5"/>
  <c r="AI10" i="5"/>
  <c r="R10" i="5"/>
  <c r="Q10" i="5"/>
  <c r="P10" i="5"/>
  <c r="O10" i="5"/>
  <c r="N10" i="5"/>
  <c r="M10" i="5"/>
  <c r="AP9" i="5"/>
  <c r="AO9" i="5"/>
  <c r="AN9" i="5"/>
  <c r="AM9" i="5"/>
  <c r="AL9" i="5"/>
  <c r="AK9" i="5"/>
  <c r="AJ9" i="5"/>
  <c r="AI9" i="5"/>
  <c r="R9" i="5"/>
  <c r="Q9" i="5"/>
  <c r="P9" i="5"/>
  <c r="O9" i="5"/>
  <c r="N9" i="5"/>
  <c r="M9" i="5"/>
  <c r="AP8" i="5"/>
  <c r="AO8" i="5"/>
  <c r="AN8" i="5"/>
  <c r="AM8" i="5"/>
  <c r="AL8" i="5"/>
  <c r="AK8" i="5"/>
  <c r="AJ8" i="5"/>
  <c r="AI8" i="5"/>
  <c r="R8" i="5"/>
  <c r="Q8" i="5"/>
  <c r="P8" i="5"/>
  <c r="O8" i="5"/>
  <c r="N8" i="5"/>
  <c r="M8" i="5"/>
  <c r="AM7" i="5"/>
  <c r="AL7" i="5"/>
  <c r="R7" i="5"/>
  <c r="Q7" i="5"/>
  <c r="P7" i="5"/>
  <c r="AP6" i="5"/>
  <c r="AO6" i="5"/>
  <c r="AN6" i="5"/>
  <c r="AM6" i="5"/>
  <c r="AL6" i="5"/>
  <c r="AK6" i="5"/>
  <c r="AJ6" i="5"/>
  <c r="AI6" i="5"/>
  <c r="R6" i="5"/>
  <c r="Q6" i="5"/>
  <c r="P6" i="5"/>
  <c r="O6" i="5"/>
  <c r="N6" i="5"/>
  <c r="M6" i="5"/>
  <c r="AP5" i="5"/>
  <c r="AO5" i="5"/>
  <c r="AN5" i="5"/>
  <c r="AK5" i="5"/>
  <c r="AJ5" i="5"/>
  <c r="AI5" i="5"/>
  <c r="R5" i="5"/>
  <c r="Q5" i="5"/>
  <c r="P5" i="5"/>
  <c r="O5" i="5"/>
  <c r="N5" i="5"/>
  <c r="M5" i="5"/>
  <c r="M23" i="3"/>
  <c r="N23" i="3"/>
  <c r="O23" i="3"/>
  <c r="P23" i="3"/>
  <c r="Q23" i="3"/>
  <c r="R23" i="3"/>
  <c r="S23" i="3"/>
  <c r="V23" i="3"/>
  <c r="W23" i="3" s="1"/>
  <c r="AG23" i="3"/>
  <c r="AH23" i="3"/>
  <c r="AI23" i="3"/>
  <c r="AL23" i="3"/>
  <c r="AM23" i="3"/>
  <c r="AN23" i="3"/>
  <c r="AT23" i="3"/>
  <c r="W5" i="3"/>
  <c r="N7" i="4"/>
  <c r="N5" i="4"/>
  <c r="BV35" i="4"/>
  <c r="BU35" i="4"/>
  <c r="BT35" i="4"/>
  <c r="BS35" i="4"/>
  <c r="BR35" i="4"/>
  <c r="BQ35" i="4"/>
  <c r="BP35" i="4"/>
  <c r="BO35" i="4"/>
  <c r="BN35" i="4"/>
  <c r="BM35" i="4"/>
  <c r="BL35" i="4"/>
  <c r="BK35" i="4"/>
  <c r="BJ35" i="4"/>
  <c r="BI35" i="4"/>
  <c r="BH35" i="4"/>
  <c r="BG35" i="4"/>
  <c r="BF35" i="4"/>
  <c r="BE35" i="4"/>
  <c r="BD35" i="4"/>
  <c r="BC35" i="4"/>
  <c r="BB35" i="4"/>
  <c r="BA35" i="4"/>
  <c r="AZ35" i="4"/>
  <c r="AY35" i="4"/>
  <c r="AX35" i="4"/>
  <c r="AW35" i="4"/>
  <c r="AV35" i="4"/>
  <c r="AU35" i="4"/>
  <c r="AT35" i="4"/>
  <c r="AS35" i="4"/>
  <c r="AR35" i="4"/>
  <c r="M35" i="4" s="1"/>
  <c r="AQ35" i="4"/>
  <c r="AP35" i="4"/>
  <c r="AO35" i="4"/>
  <c r="AN35" i="4"/>
  <c r="AM35" i="4"/>
  <c r="AL35" i="4"/>
  <c r="AK35" i="4"/>
  <c r="AJ35" i="4"/>
  <c r="AI35" i="4"/>
  <c r="L35" i="4" s="1"/>
  <c r="AH35" i="4"/>
  <c r="AG35" i="4"/>
  <c r="AF35" i="4"/>
  <c r="AE35" i="4"/>
  <c r="AD35" i="4"/>
  <c r="AC35" i="4"/>
  <c r="AB35" i="4"/>
  <c r="AA35" i="4"/>
  <c r="Z35" i="4"/>
  <c r="Y35" i="4"/>
  <c r="X35" i="4"/>
  <c r="W35" i="4"/>
  <c r="V35" i="4"/>
  <c r="U35" i="4"/>
  <c r="T35" i="4"/>
  <c r="S35" i="4"/>
  <c r="R35" i="4"/>
  <c r="K35" i="4" s="1"/>
  <c r="Q35" i="4"/>
  <c r="P35" i="4"/>
  <c r="O35" i="4"/>
  <c r="N35" i="4"/>
  <c r="BV34" i="4"/>
  <c r="BU34" i="4"/>
  <c r="BT34" i="4"/>
  <c r="BS34" i="4"/>
  <c r="BR34" i="4"/>
  <c r="BQ34" i="4"/>
  <c r="BP34" i="4"/>
  <c r="BO34" i="4"/>
  <c r="BN34" i="4"/>
  <c r="BM34" i="4"/>
  <c r="BL34" i="4"/>
  <c r="BK34" i="4"/>
  <c r="BJ34" i="4"/>
  <c r="BI34" i="4"/>
  <c r="BH34" i="4"/>
  <c r="BG34" i="4"/>
  <c r="BF34" i="4"/>
  <c r="BE34" i="4"/>
  <c r="BD34" i="4"/>
  <c r="BC34" i="4"/>
  <c r="BB34" i="4"/>
  <c r="BA34" i="4"/>
  <c r="AZ34" i="4"/>
  <c r="AY34" i="4"/>
  <c r="AX34" i="4"/>
  <c r="AW34" i="4"/>
  <c r="AV34" i="4"/>
  <c r="AU34" i="4"/>
  <c r="AT34" i="4"/>
  <c r="AS34" i="4"/>
  <c r="AR34" i="4"/>
  <c r="M34" i="4" s="1"/>
  <c r="AQ34" i="4"/>
  <c r="AP34" i="4"/>
  <c r="AO34" i="4"/>
  <c r="AN34" i="4"/>
  <c r="AM34" i="4"/>
  <c r="AL34" i="4"/>
  <c r="AK34" i="4"/>
  <c r="AJ34" i="4"/>
  <c r="AI34" i="4"/>
  <c r="L34" i="4" s="1"/>
  <c r="AH34" i="4"/>
  <c r="AG34" i="4"/>
  <c r="AF34" i="4"/>
  <c r="AE34" i="4"/>
  <c r="AD34" i="4"/>
  <c r="AC34" i="4"/>
  <c r="AB34" i="4"/>
  <c r="AA34" i="4"/>
  <c r="Z34" i="4"/>
  <c r="Y34" i="4"/>
  <c r="X34" i="4"/>
  <c r="W34" i="4"/>
  <c r="V34" i="4"/>
  <c r="U34" i="4"/>
  <c r="T34" i="4"/>
  <c r="S34" i="4"/>
  <c r="R34" i="4"/>
  <c r="K34" i="4" s="1"/>
  <c r="Q34" i="4"/>
  <c r="P34" i="4"/>
  <c r="O34" i="4"/>
  <c r="N34" i="4"/>
  <c r="BV33" i="4"/>
  <c r="BU33" i="4"/>
  <c r="BT33" i="4"/>
  <c r="BS33" i="4"/>
  <c r="BR33" i="4"/>
  <c r="BQ33" i="4"/>
  <c r="BP33" i="4"/>
  <c r="BO33" i="4"/>
  <c r="BN33" i="4"/>
  <c r="BM33" i="4"/>
  <c r="BL33" i="4"/>
  <c r="BK33" i="4"/>
  <c r="BJ33" i="4"/>
  <c r="BI33" i="4"/>
  <c r="BH33" i="4"/>
  <c r="BG33" i="4"/>
  <c r="BF33" i="4"/>
  <c r="BE33" i="4"/>
  <c r="BD33" i="4"/>
  <c r="BC33" i="4"/>
  <c r="BB33" i="4"/>
  <c r="BA33" i="4"/>
  <c r="AZ33" i="4"/>
  <c r="AY33" i="4"/>
  <c r="AX33" i="4"/>
  <c r="AW33" i="4"/>
  <c r="AV33" i="4"/>
  <c r="AU33" i="4"/>
  <c r="AT33" i="4"/>
  <c r="AS33" i="4"/>
  <c r="AR33" i="4"/>
  <c r="M33" i="4" s="1"/>
  <c r="V22" i="3" s="1"/>
  <c r="W22" i="3" s="1"/>
  <c r="AQ33" i="4"/>
  <c r="AP33" i="4"/>
  <c r="AO33" i="4"/>
  <c r="AN33" i="4"/>
  <c r="AM33" i="4"/>
  <c r="AL33" i="4"/>
  <c r="AK33" i="4"/>
  <c r="AJ33" i="4"/>
  <c r="AI33" i="4"/>
  <c r="L33" i="4" s="1"/>
  <c r="AH33" i="4"/>
  <c r="AG33" i="4"/>
  <c r="AF33" i="4"/>
  <c r="AE33" i="4"/>
  <c r="AD33" i="4"/>
  <c r="AC33" i="4"/>
  <c r="AB33" i="4"/>
  <c r="AA33" i="4"/>
  <c r="Z33" i="4"/>
  <c r="Y33" i="4"/>
  <c r="X33" i="4"/>
  <c r="W33" i="4"/>
  <c r="V33" i="4"/>
  <c r="U33" i="4"/>
  <c r="T33" i="4"/>
  <c r="S33" i="4"/>
  <c r="R33" i="4"/>
  <c r="K33" i="4" s="1"/>
  <c r="Q33" i="4"/>
  <c r="P33" i="4"/>
  <c r="O33" i="4"/>
  <c r="N33" i="4"/>
  <c r="BV32" i="4"/>
  <c r="BU32" i="4"/>
  <c r="BT32" i="4"/>
  <c r="BS32" i="4"/>
  <c r="BR32" i="4"/>
  <c r="BQ32" i="4"/>
  <c r="BP32" i="4"/>
  <c r="BO32" i="4"/>
  <c r="BN32" i="4"/>
  <c r="BM32" i="4"/>
  <c r="BL32" i="4"/>
  <c r="BK32" i="4"/>
  <c r="BJ32" i="4"/>
  <c r="BI32" i="4"/>
  <c r="BH32" i="4"/>
  <c r="BG32" i="4"/>
  <c r="BF32" i="4"/>
  <c r="BE32" i="4"/>
  <c r="BD32" i="4"/>
  <c r="BC32" i="4"/>
  <c r="BB32" i="4"/>
  <c r="BA32" i="4"/>
  <c r="AZ32" i="4"/>
  <c r="AY32" i="4"/>
  <c r="AX32" i="4"/>
  <c r="AW32" i="4"/>
  <c r="AV32" i="4"/>
  <c r="AU32" i="4"/>
  <c r="AT32" i="4"/>
  <c r="AS32" i="4"/>
  <c r="AR32" i="4"/>
  <c r="M32" i="4" s="1"/>
  <c r="S22" i="3" s="1"/>
  <c r="AQ32" i="4"/>
  <c r="AP32" i="4"/>
  <c r="AO32" i="4"/>
  <c r="AN32" i="4"/>
  <c r="AM32" i="4"/>
  <c r="AL32" i="4"/>
  <c r="AK32" i="4"/>
  <c r="AJ32" i="4"/>
  <c r="AI32" i="4"/>
  <c r="L32" i="4" s="1"/>
  <c r="AH32" i="4"/>
  <c r="AG32" i="4"/>
  <c r="AF32" i="4"/>
  <c r="AE32" i="4"/>
  <c r="AD32" i="4"/>
  <c r="AC32" i="4"/>
  <c r="AB32" i="4"/>
  <c r="AA32" i="4"/>
  <c r="Z32" i="4"/>
  <c r="Y32" i="4"/>
  <c r="X32" i="4"/>
  <c r="W32" i="4"/>
  <c r="V32" i="4"/>
  <c r="U32" i="4"/>
  <c r="T32" i="4"/>
  <c r="S32" i="4"/>
  <c r="R32" i="4"/>
  <c r="K32" i="4" s="1"/>
  <c r="Q32" i="4"/>
  <c r="P32" i="4"/>
  <c r="O32" i="4"/>
  <c r="N32" i="4"/>
  <c r="BV31" i="4"/>
  <c r="BU31" i="4"/>
  <c r="BT31" i="4"/>
  <c r="BS31" i="4"/>
  <c r="BR31" i="4"/>
  <c r="BQ31" i="4"/>
  <c r="BP31" i="4"/>
  <c r="BO31" i="4"/>
  <c r="BN31" i="4"/>
  <c r="BM31" i="4"/>
  <c r="BL31" i="4"/>
  <c r="BK31" i="4"/>
  <c r="BJ31" i="4"/>
  <c r="BI31" i="4"/>
  <c r="BH31" i="4"/>
  <c r="BG31" i="4"/>
  <c r="BF31" i="4"/>
  <c r="BE31" i="4"/>
  <c r="BD31" i="4"/>
  <c r="BC31" i="4"/>
  <c r="BB31" i="4"/>
  <c r="BA31" i="4"/>
  <c r="AZ31" i="4"/>
  <c r="AY31" i="4"/>
  <c r="AX31" i="4"/>
  <c r="AW31" i="4"/>
  <c r="AV31" i="4"/>
  <c r="AU31" i="4"/>
  <c r="AT31" i="4"/>
  <c r="AS31" i="4"/>
  <c r="AR31" i="4"/>
  <c r="M31" i="4" s="1"/>
  <c r="V21" i="3" s="1"/>
  <c r="W21" i="3" s="1"/>
  <c r="AQ31" i="4"/>
  <c r="AP31" i="4"/>
  <c r="AO31" i="4"/>
  <c r="AN31" i="4"/>
  <c r="AM31" i="4"/>
  <c r="AL31" i="4"/>
  <c r="AK31" i="4"/>
  <c r="AJ31" i="4"/>
  <c r="AI31" i="4"/>
  <c r="L31" i="4" s="1"/>
  <c r="AH31" i="4"/>
  <c r="AG31" i="4"/>
  <c r="AF31" i="4"/>
  <c r="AE31" i="4"/>
  <c r="AD31" i="4"/>
  <c r="AC31" i="4"/>
  <c r="AB31" i="4"/>
  <c r="AA31" i="4"/>
  <c r="Z31" i="4"/>
  <c r="Y31" i="4"/>
  <c r="X31" i="4"/>
  <c r="W31" i="4"/>
  <c r="V31" i="4"/>
  <c r="U31" i="4"/>
  <c r="T31" i="4"/>
  <c r="S31" i="4"/>
  <c r="R31" i="4"/>
  <c r="K31" i="4" s="1"/>
  <c r="Q31" i="4"/>
  <c r="P31" i="4"/>
  <c r="O31" i="4"/>
  <c r="N31" i="4"/>
  <c r="BV30" i="4"/>
  <c r="BU30" i="4"/>
  <c r="BT30" i="4"/>
  <c r="BS30" i="4"/>
  <c r="BR30" i="4"/>
  <c r="BQ30" i="4"/>
  <c r="BP30" i="4"/>
  <c r="BO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K30" i="4"/>
  <c r="AJ30" i="4"/>
  <c r="AI30" i="4"/>
  <c r="AH30" i="4"/>
  <c r="AG30" i="4"/>
  <c r="AF30" i="4"/>
  <c r="AE30" i="4"/>
  <c r="AD30" i="4"/>
  <c r="AC30" i="4"/>
  <c r="L30" i="4" s="1"/>
  <c r="AB30" i="4"/>
  <c r="AA30" i="4"/>
  <c r="Z30" i="4"/>
  <c r="Y30" i="4"/>
  <c r="X30" i="4"/>
  <c r="W30" i="4"/>
  <c r="V30" i="4"/>
  <c r="U30" i="4"/>
  <c r="T30" i="4"/>
  <c r="S30" i="4"/>
  <c r="R30" i="4"/>
  <c r="K30" i="4" s="1"/>
  <c r="Q30" i="4"/>
  <c r="P30" i="4"/>
  <c r="O30" i="4"/>
  <c r="N30" i="4"/>
  <c r="M30" i="4"/>
  <c r="BV29" i="4"/>
  <c r="BU29" i="4"/>
  <c r="BT29" i="4"/>
  <c r="BS29" i="4"/>
  <c r="BR29" i="4"/>
  <c r="BQ29" i="4"/>
  <c r="BP29"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L29" i="4" s="1"/>
  <c r="AB29" i="4"/>
  <c r="AA29" i="4"/>
  <c r="Z29" i="4"/>
  <c r="Y29" i="4"/>
  <c r="X29" i="4"/>
  <c r="W29" i="4"/>
  <c r="V29" i="4"/>
  <c r="U29" i="4"/>
  <c r="T29" i="4"/>
  <c r="S29" i="4"/>
  <c r="R29" i="4"/>
  <c r="K29" i="4" s="1"/>
  <c r="Q29" i="4"/>
  <c r="P29" i="4"/>
  <c r="O29" i="4"/>
  <c r="N29" i="4"/>
  <c r="M29" i="4"/>
  <c r="BV28" i="4"/>
  <c r="BU28" i="4"/>
  <c r="BT28" i="4"/>
  <c r="BS28" i="4"/>
  <c r="BR28" i="4"/>
  <c r="BQ28" i="4"/>
  <c r="BP28" i="4"/>
  <c r="BO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L28" i="4" s="1"/>
  <c r="AB28" i="4"/>
  <c r="AA28" i="4"/>
  <c r="Z28" i="4"/>
  <c r="Y28" i="4"/>
  <c r="X28" i="4"/>
  <c r="W28" i="4"/>
  <c r="V28" i="4"/>
  <c r="U28" i="4"/>
  <c r="T28" i="4"/>
  <c r="S28" i="4"/>
  <c r="R28" i="4"/>
  <c r="K28" i="4" s="1"/>
  <c r="Q28" i="4"/>
  <c r="P28" i="4"/>
  <c r="O28" i="4"/>
  <c r="N28" i="4"/>
  <c r="M28" i="4"/>
  <c r="BV27" i="4"/>
  <c r="BU27" i="4"/>
  <c r="BT27" i="4"/>
  <c r="BS27" i="4"/>
  <c r="BR27" i="4"/>
  <c r="BQ27" i="4"/>
  <c r="BP27"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K27" i="4"/>
  <c r="AJ27" i="4"/>
  <c r="AI27" i="4"/>
  <c r="AH27" i="4"/>
  <c r="AG27" i="4"/>
  <c r="AF27" i="4"/>
  <c r="AE27" i="4"/>
  <c r="AD27" i="4"/>
  <c r="AC27" i="4"/>
  <c r="L27" i="4" s="1"/>
  <c r="AB27" i="4"/>
  <c r="AA27" i="4"/>
  <c r="Z27" i="4"/>
  <c r="Y27" i="4"/>
  <c r="X27" i="4"/>
  <c r="W27" i="4"/>
  <c r="V27" i="4"/>
  <c r="U27" i="4"/>
  <c r="T27" i="4"/>
  <c r="S27" i="4"/>
  <c r="R27" i="4"/>
  <c r="K27" i="4" s="1"/>
  <c r="Q27" i="4"/>
  <c r="P27" i="4"/>
  <c r="O27" i="4"/>
  <c r="N27" i="4"/>
  <c r="M27" i="4"/>
  <c r="BV26" i="4"/>
  <c r="BU26" i="4"/>
  <c r="BT26" i="4"/>
  <c r="BS26" i="4"/>
  <c r="BR26" i="4"/>
  <c r="BQ26" i="4"/>
  <c r="BP26"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L26" i="4" s="1"/>
  <c r="AB26" i="4"/>
  <c r="AA26" i="4"/>
  <c r="Z26" i="4"/>
  <c r="Y26" i="4"/>
  <c r="X26" i="4"/>
  <c r="W26" i="4"/>
  <c r="V26" i="4"/>
  <c r="U26" i="4"/>
  <c r="T26" i="4"/>
  <c r="S26" i="4"/>
  <c r="R26" i="4"/>
  <c r="K26" i="4" s="1"/>
  <c r="Q26" i="4"/>
  <c r="P26" i="4"/>
  <c r="O26" i="4"/>
  <c r="N26" i="4"/>
  <c r="M26" i="4"/>
  <c r="BV25" i="4"/>
  <c r="BU25" i="4"/>
  <c r="BT25" i="4"/>
  <c r="BS25" i="4"/>
  <c r="BR25" i="4"/>
  <c r="BQ25" i="4"/>
  <c r="BP25" i="4"/>
  <c r="BO25" i="4"/>
  <c r="BN25" i="4"/>
  <c r="BM25" i="4"/>
  <c r="BL25" i="4"/>
  <c r="BK25" i="4"/>
  <c r="BJ25" i="4"/>
  <c r="BI25" i="4"/>
  <c r="BH25" i="4"/>
  <c r="BG25" i="4"/>
  <c r="BF25" i="4"/>
  <c r="BE25" i="4"/>
  <c r="BD25" i="4"/>
  <c r="BC25" i="4"/>
  <c r="BB25" i="4"/>
  <c r="BA25" i="4"/>
  <c r="AZ25" i="4"/>
  <c r="AY25" i="4"/>
  <c r="AX25" i="4"/>
  <c r="M25" i="4" s="1"/>
  <c r="V17" i="3" s="1"/>
  <c r="W17" i="3" s="1"/>
  <c r="AW25" i="4"/>
  <c r="AV25" i="4"/>
  <c r="AU25" i="4"/>
  <c r="AT25" i="4"/>
  <c r="AS25" i="4"/>
  <c r="AR25" i="4"/>
  <c r="AQ25" i="4"/>
  <c r="AP25" i="4"/>
  <c r="AO25" i="4"/>
  <c r="AN25" i="4"/>
  <c r="AM25" i="4"/>
  <c r="AL25" i="4"/>
  <c r="AK25" i="4"/>
  <c r="AJ25" i="4"/>
  <c r="AI25" i="4"/>
  <c r="AH25" i="4"/>
  <c r="AG25" i="4"/>
  <c r="AF25" i="4"/>
  <c r="AE25" i="4"/>
  <c r="AD25" i="4"/>
  <c r="AC25" i="4"/>
  <c r="L25" i="4" s="1"/>
  <c r="AB25" i="4"/>
  <c r="AA25" i="4"/>
  <c r="Z25" i="4"/>
  <c r="Y25" i="4"/>
  <c r="X25" i="4"/>
  <c r="W25" i="4"/>
  <c r="V25" i="4"/>
  <c r="U25" i="4"/>
  <c r="T25" i="4"/>
  <c r="S25" i="4"/>
  <c r="R25" i="4"/>
  <c r="K25" i="4" s="1"/>
  <c r="Q25" i="4"/>
  <c r="P25" i="4"/>
  <c r="O25" i="4"/>
  <c r="N25" i="4"/>
  <c r="BV24" i="4"/>
  <c r="BU24" i="4"/>
  <c r="BT24" i="4"/>
  <c r="BS24" i="4"/>
  <c r="BR24" i="4"/>
  <c r="BQ24" i="4"/>
  <c r="BP24" i="4"/>
  <c r="BO24" i="4"/>
  <c r="BN24" i="4"/>
  <c r="BM24" i="4"/>
  <c r="BL24" i="4"/>
  <c r="BK24" i="4"/>
  <c r="BJ24" i="4"/>
  <c r="BI24" i="4"/>
  <c r="BH24" i="4"/>
  <c r="BG24" i="4"/>
  <c r="BF24" i="4"/>
  <c r="BE24" i="4"/>
  <c r="BD24" i="4"/>
  <c r="BC24" i="4"/>
  <c r="BB24" i="4"/>
  <c r="BA24" i="4"/>
  <c r="AZ24" i="4"/>
  <c r="AY24" i="4"/>
  <c r="AX24" i="4"/>
  <c r="M24" i="4" s="1"/>
  <c r="V16" i="3" s="1"/>
  <c r="W16" i="3" s="1"/>
  <c r="AW24" i="4"/>
  <c r="AV24" i="4"/>
  <c r="AU24" i="4"/>
  <c r="AT24" i="4"/>
  <c r="AS24" i="4"/>
  <c r="AR24" i="4"/>
  <c r="AQ24" i="4"/>
  <c r="AP24" i="4"/>
  <c r="AO24" i="4"/>
  <c r="AN24" i="4"/>
  <c r="AM24" i="4"/>
  <c r="AL24" i="4"/>
  <c r="AK24" i="4"/>
  <c r="AJ24" i="4"/>
  <c r="AI24" i="4"/>
  <c r="AH24" i="4"/>
  <c r="AG24" i="4"/>
  <c r="AF24" i="4"/>
  <c r="AE24" i="4"/>
  <c r="AD24" i="4"/>
  <c r="AC24" i="4"/>
  <c r="L24" i="4" s="1"/>
  <c r="AB24" i="4"/>
  <c r="AA24" i="4"/>
  <c r="Z24" i="4"/>
  <c r="Y24" i="4"/>
  <c r="X24" i="4"/>
  <c r="W24" i="4"/>
  <c r="V24" i="4"/>
  <c r="U24" i="4"/>
  <c r="T24" i="4"/>
  <c r="S24" i="4"/>
  <c r="R24" i="4"/>
  <c r="K24" i="4" s="1"/>
  <c r="Q24" i="4"/>
  <c r="P24" i="4"/>
  <c r="O24" i="4"/>
  <c r="N24"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M23" i="4" s="1"/>
  <c r="V15" i="3" s="1"/>
  <c r="W15" i="3" s="1"/>
  <c r="AW23" i="4"/>
  <c r="AV23" i="4"/>
  <c r="AU23" i="4"/>
  <c r="AT23" i="4"/>
  <c r="AS23" i="4"/>
  <c r="AR23" i="4"/>
  <c r="AQ23" i="4"/>
  <c r="AP23" i="4"/>
  <c r="AO23" i="4"/>
  <c r="AN23" i="4"/>
  <c r="AM23" i="4"/>
  <c r="AL23" i="4"/>
  <c r="AK23" i="4"/>
  <c r="AJ23" i="4"/>
  <c r="AI23" i="4"/>
  <c r="AH23" i="4"/>
  <c r="AG23" i="4"/>
  <c r="AF23" i="4"/>
  <c r="AE23" i="4"/>
  <c r="AD23" i="4"/>
  <c r="AC23" i="4"/>
  <c r="L23" i="4" s="1"/>
  <c r="AB23" i="4"/>
  <c r="AA23" i="4"/>
  <c r="Z23" i="4"/>
  <c r="Y23" i="4"/>
  <c r="X23" i="4"/>
  <c r="W23" i="4"/>
  <c r="V23" i="4"/>
  <c r="U23" i="4"/>
  <c r="T23" i="4"/>
  <c r="S23" i="4"/>
  <c r="R23" i="4"/>
  <c r="Q23" i="4"/>
  <c r="P23" i="4"/>
  <c r="K23" i="4" s="1"/>
  <c r="O23" i="4"/>
  <c r="N23" i="4"/>
  <c r="BV22" i="4"/>
  <c r="BU22" i="4"/>
  <c r="BT22" i="4"/>
  <c r="BS22" i="4"/>
  <c r="BR22" i="4"/>
  <c r="BQ22" i="4"/>
  <c r="BP22" i="4"/>
  <c r="BO22" i="4"/>
  <c r="BN22" i="4"/>
  <c r="BM22" i="4"/>
  <c r="BL22" i="4"/>
  <c r="BK22" i="4"/>
  <c r="BJ22" i="4"/>
  <c r="BI22" i="4"/>
  <c r="BH22" i="4"/>
  <c r="BG22" i="4"/>
  <c r="BF22" i="4"/>
  <c r="BE22" i="4"/>
  <c r="BD22" i="4"/>
  <c r="BC22" i="4"/>
  <c r="BB22" i="4"/>
  <c r="BA22" i="4"/>
  <c r="AZ22" i="4"/>
  <c r="AY22" i="4"/>
  <c r="AX22" i="4"/>
  <c r="M22" i="4" s="1"/>
  <c r="V14" i="3" s="1"/>
  <c r="W14" i="3" s="1"/>
  <c r="AW22" i="4"/>
  <c r="AV22" i="4"/>
  <c r="AU22" i="4"/>
  <c r="AT22" i="4"/>
  <c r="AS22" i="4"/>
  <c r="AR22" i="4"/>
  <c r="AQ22" i="4"/>
  <c r="AP22" i="4"/>
  <c r="AO22" i="4"/>
  <c r="AN22" i="4"/>
  <c r="AM22" i="4"/>
  <c r="AL22" i="4"/>
  <c r="AK22" i="4"/>
  <c r="AJ22" i="4"/>
  <c r="AI22" i="4"/>
  <c r="AH22" i="4"/>
  <c r="AG22" i="4"/>
  <c r="AF22" i="4"/>
  <c r="AE22" i="4"/>
  <c r="AD22" i="4"/>
  <c r="AC22" i="4"/>
  <c r="L22" i="4" s="1"/>
  <c r="AB22" i="4"/>
  <c r="AA22" i="4"/>
  <c r="Z22" i="4"/>
  <c r="Y22" i="4"/>
  <c r="X22" i="4"/>
  <c r="W22" i="4"/>
  <c r="V22" i="4"/>
  <c r="U22" i="4"/>
  <c r="T22" i="4"/>
  <c r="S22" i="4"/>
  <c r="R22" i="4"/>
  <c r="Q22" i="4"/>
  <c r="P22" i="4"/>
  <c r="K22" i="4" s="1"/>
  <c r="O22" i="4"/>
  <c r="N22"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M21" i="4" s="1"/>
  <c r="S14" i="3" s="1"/>
  <c r="AW21" i="4"/>
  <c r="AV21" i="4"/>
  <c r="AU21" i="4"/>
  <c r="AT21" i="4"/>
  <c r="AS21" i="4"/>
  <c r="AR21" i="4"/>
  <c r="AQ21" i="4"/>
  <c r="AP21" i="4"/>
  <c r="AO21" i="4"/>
  <c r="AN21" i="4"/>
  <c r="AM21" i="4"/>
  <c r="AL21" i="4"/>
  <c r="AK21" i="4"/>
  <c r="AJ21" i="4"/>
  <c r="AI21" i="4"/>
  <c r="AH21" i="4"/>
  <c r="AG21" i="4"/>
  <c r="AF21" i="4"/>
  <c r="AE21" i="4"/>
  <c r="AD21" i="4"/>
  <c r="AC21" i="4"/>
  <c r="L21" i="4" s="1"/>
  <c r="AB21" i="4"/>
  <c r="AA21" i="4"/>
  <c r="Z21" i="4"/>
  <c r="Y21" i="4"/>
  <c r="X21" i="4"/>
  <c r="W21" i="4"/>
  <c r="V21" i="4"/>
  <c r="U21" i="4"/>
  <c r="T21" i="4"/>
  <c r="S21" i="4"/>
  <c r="R21" i="4"/>
  <c r="Q21" i="4"/>
  <c r="P21" i="4"/>
  <c r="K21" i="4" s="1"/>
  <c r="O21" i="4"/>
  <c r="N21" i="4"/>
  <c r="BV20" i="4"/>
  <c r="BU20" i="4"/>
  <c r="BT20" i="4"/>
  <c r="BS20" i="4"/>
  <c r="BR20" i="4"/>
  <c r="BQ20" i="4"/>
  <c r="BP20" i="4"/>
  <c r="BO20" i="4"/>
  <c r="BN20" i="4"/>
  <c r="BM20" i="4"/>
  <c r="BL20" i="4"/>
  <c r="BK20" i="4"/>
  <c r="BJ20" i="4"/>
  <c r="BI20" i="4"/>
  <c r="BH20" i="4"/>
  <c r="BG20" i="4"/>
  <c r="BF20" i="4"/>
  <c r="BE20" i="4"/>
  <c r="BD20" i="4"/>
  <c r="BC20" i="4"/>
  <c r="BB20" i="4"/>
  <c r="BA20" i="4"/>
  <c r="AZ20" i="4"/>
  <c r="AY20" i="4"/>
  <c r="AX20" i="4"/>
  <c r="M20" i="4" s="1"/>
  <c r="V13" i="3" s="1"/>
  <c r="W13" i="3" s="1"/>
  <c r="AW20" i="4"/>
  <c r="AV20" i="4"/>
  <c r="AU20" i="4"/>
  <c r="AT20" i="4"/>
  <c r="AS20" i="4"/>
  <c r="AR20" i="4"/>
  <c r="AQ20" i="4"/>
  <c r="AP20" i="4"/>
  <c r="AO20" i="4"/>
  <c r="AN20" i="4"/>
  <c r="AM20" i="4"/>
  <c r="AL20" i="4"/>
  <c r="AK20" i="4"/>
  <c r="AJ20" i="4"/>
  <c r="AI20" i="4"/>
  <c r="AH20" i="4"/>
  <c r="AG20" i="4"/>
  <c r="AF20" i="4"/>
  <c r="AE20" i="4"/>
  <c r="AD20" i="4"/>
  <c r="AC20" i="4"/>
  <c r="L20" i="4" s="1"/>
  <c r="AB20" i="4"/>
  <c r="AA20" i="4"/>
  <c r="Z20" i="4"/>
  <c r="Y20" i="4"/>
  <c r="X20" i="4"/>
  <c r="W20" i="4"/>
  <c r="V20" i="4"/>
  <c r="U20" i="4"/>
  <c r="T20" i="4"/>
  <c r="S20" i="4"/>
  <c r="R20" i="4"/>
  <c r="Q20" i="4"/>
  <c r="P20" i="4"/>
  <c r="K20" i="4" s="1"/>
  <c r="O20" i="4"/>
  <c r="N20" i="4"/>
  <c r="BV19" i="4"/>
  <c r="BU19" i="4"/>
  <c r="BT19" i="4"/>
  <c r="BS19" i="4"/>
  <c r="BR19" i="4"/>
  <c r="BQ19" i="4"/>
  <c r="BP19" i="4"/>
  <c r="BO19" i="4"/>
  <c r="BN19" i="4"/>
  <c r="BM19" i="4"/>
  <c r="BL19" i="4"/>
  <c r="BK19" i="4"/>
  <c r="BJ19" i="4"/>
  <c r="BI19" i="4"/>
  <c r="BH19" i="4"/>
  <c r="BG19" i="4"/>
  <c r="BF19" i="4"/>
  <c r="BE19" i="4"/>
  <c r="BD19" i="4"/>
  <c r="BC19" i="4"/>
  <c r="BB19" i="4"/>
  <c r="BA19" i="4"/>
  <c r="AZ19" i="4"/>
  <c r="AY19" i="4"/>
  <c r="AX19" i="4"/>
  <c r="M19" i="4" s="1"/>
  <c r="S13" i="3" s="1"/>
  <c r="AW19" i="4"/>
  <c r="AV19" i="4"/>
  <c r="AU19" i="4"/>
  <c r="AT19" i="4"/>
  <c r="AS19" i="4"/>
  <c r="AR19" i="4"/>
  <c r="AQ19" i="4"/>
  <c r="AP19" i="4"/>
  <c r="AO19" i="4"/>
  <c r="AN19" i="4"/>
  <c r="AM19" i="4"/>
  <c r="AL19" i="4"/>
  <c r="AK19" i="4"/>
  <c r="AJ19" i="4"/>
  <c r="AI19" i="4"/>
  <c r="AH19" i="4"/>
  <c r="AG19" i="4"/>
  <c r="AF19" i="4"/>
  <c r="AE19" i="4"/>
  <c r="AD19" i="4"/>
  <c r="AC19" i="4"/>
  <c r="L19" i="4" s="1"/>
  <c r="AB19" i="4"/>
  <c r="AA19" i="4"/>
  <c r="Z19" i="4"/>
  <c r="Y19" i="4"/>
  <c r="X19" i="4"/>
  <c r="W19" i="4"/>
  <c r="V19" i="4"/>
  <c r="U19" i="4"/>
  <c r="T19" i="4"/>
  <c r="S19" i="4"/>
  <c r="R19" i="4"/>
  <c r="Q19" i="4"/>
  <c r="P19" i="4"/>
  <c r="K19" i="4" s="1"/>
  <c r="O19" i="4"/>
  <c r="N19" i="4"/>
  <c r="BV18" i="4"/>
  <c r="BU18" i="4"/>
  <c r="BT18" i="4"/>
  <c r="BS18" i="4"/>
  <c r="BR18" i="4"/>
  <c r="BQ18" i="4"/>
  <c r="BP18" i="4"/>
  <c r="BO18" i="4"/>
  <c r="BN18" i="4"/>
  <c r="BM18" i="4"/>
  <c r="BL18" i="4"/>
  <c r="BK18" i="4"/>
  <c r="BJ18" i="4"/>
  <c r="BI18" i="4"/>
  <c r="BH18" i="4"/>
  <c r="BG18" i="4"/>
  <c r="BF18" i="4"/>
  <c r="BE18" i="4"/>
  <c r="BD18" i="4"/>
  <c r="BC18" i="4"/>
  <c r="BB18" i="4"/>
  <c r="BA18" i="4"/>
  <c r="AZ18" i="4"/>
  <c r="AY18" i="4"/>
  <c r="AX18" i="4"/>
  <c r="M18" i="4" s="1"/>
  <c r="V12" i="3" s="1"/>
  <c r="W12" i="3" s="1"/>
  <c r="AW18" i="4"/>
  <c r="AV18" i="4"/>
  <c r="AU18" i="4"/>
  <c r="AT18" i="4"/>
  <c r="AS18" i="4"/>
  <c r="AR18" i="4"/>
  <c r="AQ18" i="4"/>
  <c r="AP18" i="4"/>
  <c r="AO18" i="4"/>
  <c r="AN18" i="4"/>
  <c r="AM18" i="4"/>
  <c r="AL18" i="4"/>
  <c r="AK18" i="4"/>
  <c r="AJ18" i="4"/>
  <c r="AI18" i="4"/>
  <c r="AH18" i="4"/>
  <c r="AG18" i="4"/>
  <c r="AF18" i="4"/>
  <c r="AE18" i="4"/>
  <c r="AD18" i="4"/>
  <c r="AC18" i="4"/>
  <c r="L18" i="4" s="1"/>
  <c r="AB18" i="4"/>
  <c r="AA18" i="4"/>
  <c r="Z18" i="4"/>
  <c r="Y18" i="4"/>
  <c r="X18" i="4"/>
  <c r="W18" i="4"/>
  <c r="V18" i="4"/>
  <c r="U18" i="4"/>
  <c r="T18" i="4"/>
  <c r="S18" i="4"/>
  <c r="R18" i="4"/>
  <c r="Q18" i="4"/>
  <c r="P18" i="4"/>
  <c r="O18" i="4"/>
  <c r="K18" i="4" s="1"/>
  <c r="N18" i="4"/>
  <c r="BV17" i="4"/>
  <c r="BU17" i="4"/>
  <c r="BT17" i="4"/>
  <c r="BS17" i="4"/>
  <c r="BR17" i="4"/>
  <c r="BQ17" i="4"/>
  <c r="BP17" i="4"/>
  <c r="BO17" i="4"/>
  <c r="BN17" i="4"/>
  <c r="BM17" i="4"/>
  <c r="BL17" i="4"/>
  <c r="BK17" i="4"/>
  <c r="BJ17" i="4"/>
  <c r="BI17" i="4"/>
  <c r="BH17" i="4"/>
  <c r="BG17" i="4"/>
  <c r="BF17" i="4"/>
  <c r="BE17" i="4"/>
  <c r="BD17" i="4"/>
  <c r="BC17" i="4"/>
  <c r="BB17" i="4"/>
  <c r="BA17" i="4"/>
  <c r="AZ17" i="4"/>
  <c r="AY17" i="4"/>
  <c r="AX17" i="4"/>
  <c r="M17" i="4" s="1"/>
  <c r="S12" i="3" s="1"/>
  <c r="AW17" i="4"/>
  <c r="AV17" i="4"/>
  <c r="AU17" i="4"/>
  <c r="AT17" i="4"/>
  <c r="AS17" i="4"/>
  <c r="AR17" i="4"/>
  <c r="AQ17" i="4"/>
  <c r="AP17" i="4"/>
  <c r="AO17" i="4"/>
  <c r="AN17" i="4"/>
  <c r="AM17" i="4"/>
  <c r="AL17" i="4"/>
  <c r="AK17" i="4"/>
  <c r="AJ17" i="4"/>
  <c r="AI17" i="4"/>
  <c r="AH17" i="4"/>
  <c r="AG17" i="4"/>
  <c r="AF17" i="4"/>
  <c r="AE17" i="4"/>
  <c r="AD17" i="4"/>
  <c r="AC17" i="4"/>
  <c r="L17" i="4" s="1"/>
  <c r="AB17" i="4"/>
  <c r="AA17" i="4"/>
  <c r="Z17" i="4"/>
  <c r="Y17" i="4"/>
  <c r="X17" i="4"/>
  <c r="W17" i="4"/>
  <c r="V17" i="4"/>
  <c r="U17" i="4"/>
  <c r="T17" i="4"/>
  <c r="S17" i="4"/>
  <c r="R17" i="4"/>
  <c r="Q17" i="4"/>
  <c r="P17" i="4"/>
  <c r="O17" i="4"/>
  <c r="K17" i="4" s="1"/>
  <c r="N17" i="4"/>
  <c r="BV16" i="4"/>
  <c r="BU16" i="4"/>
  <c r="BT16" i="4"/>
  <c r="BS16" i="4"/>
  <c r="BR16" i="4"/>
  <c r="BQ16" i="4"/>
  <c r="BP16" i="4"/>
  <c r="BO16" i="4"/>
  <c r="BN16" i="4"/>
  <c r="BM16" i="4"/>
  <c r="BL16" i="4"/>
  <c r="BK16" i="4"/>
  <c r="BJ16" i="4"/>
  <c r="BI16" i="4"/>
  <c r="BH16" i="4"/>
  <c r="BG16" i="4"/>
  <c r="BF16" i="4"/>
  <c r="BE16" i="4"/>
  <c r="BD16" i="4"/>
  <c r="BC16" i="4"/>
  <c r="BB16" i="4"/>
  <c r="BA16" i="4"/>
  <c r="AZ16" i="4"/>
  <c r="AY16" i="4"/>
  <c r="AX16" i="4"/>
  <c r="M16" i="4" s="1"/>
  <c r="V11" i="3" s="1"/>
  <c r="W11" i="3" s="1"/>
  <c r="AW16" i="4"/>
  <c r="AV16" i="4"/>
  <c r="AU16" i="4"/>
  <c r="AT16" i="4"/>
  <c r="AS16" i="4"/>
  <c r="AR16" i="4"/>
  <c r="AQ16" i="4"/>
  <c r="AP16" i="4"/>
  <c r="AO16" i="4"/>
  <c r="AN16" i="4"/>
  <c r="AM16" i="4"/>
  <c r="AL16" i="4"/>
  <c r="AK16" i="4"/>
  <c r="AJ16" i="4"/>
  <c r="AI16" i="4"/>
  <c r="AH16" i="4"/>
  <c r="AG16" i="4"/>
  <c r="AF16" i="4"/>
  <c r="AE16" i="4"/>
  <c r="AD16" i="4"/>
  <c r="AC16" i="4"/>
  <c r="L16" i="4" s="1"/>
  <c r="AB16" i="4"/>
  <c r="AA16" i="4"/>
  <c r="Z16" i="4"/>
  <c r="Y16" i="4"/>
  <c r="X16" i="4"/>
  <c r="W16" i="4"/>
  <c r="V16" i="4"/>
  <c r="U16" i="4"/>
  <c r="T16" i="4"/>
  <c r="S16" i="4"/>
  <c r="R16" i="4"/>
  <c r="Q16" i="4"/>
  <c r="P16" i="4"/>
  <c r="O16" i="4"/>
  <c r="K16" i="4" s="1"/>
  <c r="N16" i="4"/>
  <c r="BV15" i="4"/>
  <c r="BU15" i="4"/>
  <c r="BT15" i="4"/>
  <c r="BS15" i="4"/>
  <c r="BR15" i="4"/>
  <c r="BQ15" i="4"/>
  <c r="BP15" i="4"/>
  <c r="BO15" i="4"/>
  <c r="BN15" i="4"/>
  <c r="BM15" i="4"/>
  <c r="BL15" i="4"/>
  <c r="BK15" i="4"/>
  <c r="BJ15" i="4"/>
  <c r="BI15" i="4"/>
  <c r="BH15" i="4"/>
  <c r="BG15" i="4"/>
  <c r="BF15" i="4"/>
  <c r="BE15" i="4"/>
  <c r="BD15" i="4"/>
  <c r="BC15" i="4"/>
  <c r="BB15" i="4"/>
  <c r="BA15" i="4"/>
  <c r="AZ15" i="4"/>
  <c r="AY15" i="4"/>
  <c r="AX15" i="4"/>
  <c r="AW15" i="4"/>
  <c r="AV15" i="4"/>
  <c r="AU15" i="4"/>
  <c r="AT15" i="4"/>
  <c r="AS15" i="4"/>
  <c r="M15" i="4" s="1"/>
  <c r="V10" i="3" s="1"/>
  <c r="W10" i="3" s="1"/>
  <c r="AR15" i="4"/>
  <c r="AQ15" i="4"/>
  <c r="AP15" i="4"/>
  <c r="AO15" i="4"/>
  <c r="AN15" i="4"/>
  <c r="AM15" i="4"/>
  <c r="AL15" i="4"/>
  <c r="AK15" i="4"/>
  <c r="AJ15" i="4"/>
  <c r="AI15" i="4"/>
  <c r="AH15" i="4"/>
  <c r="AG15" i="4"/>
  <c r="AF15" i="4"/>
  <c r="AE15" i="4"/>
  <c r="AD15" i="4"/>
  <c r="AC15" i="4"/>
  <c r="L15" i="4" s="1"/>
  <c r="AB15" i="4"/>
  <c r="AA15" i="4"/>
  <c r="Z15" i="4"/>
  <c r="Y15" i="4"/>
  <c r="X15" i="4"/>
  <c r="W15" i="4"/>
  <c r="V15" i="4"/>
  <c r="U15" i="4"/>
  <c r="T15" i="4"/>
  <c r="S15" i="4"/>
  <c r="R15" i="4"/>
  <c r="Q15" i="4"/>
  <c r="P15" i="4"/>
  <c r="O15" i="4"/>
  <c r="K15" i="4" s="1"/>
  <c r="N15" i="4"/>
  <c r="BV14" i="4"/>
  <c r="BU14" i="4"/>
  <c r="BT14" i="4"/>
  <c r="BS14" i="4"/>
  <c r="BR14" i="4"/>
  <c r="BQ14" i="4"/>
  <c r="BP14" i="4"/>
  <c r="BO14" i="4"/>
  <c r="BN14" i="4"/>
  <c r="BM14" i="4"/>
  <c r="BL14" i="4"/>
  <c r="BK14" i="4"/>
  <c r="BJ14" i="4"/>
  <c r="BI14" i="4"/>
  <c r="BH14" i="4"/>
  <c r="BG14" i="4"/>
  <c r="BF14" i="4"/>
  <c r="BE14" i="4"/>
  <c r="BD14" i="4"/>
  <c r="BC14" i="4"/>
  <c r="BB14" i="4"/>
  <c r="BA14" i="4"/>
  <c r="AZ14" i="4"/>
  <c r="AY14" i="4"/>
  <c r="AX14" i="4"/>
  <c r="M14" i="4" s="1"/>
  <c r="S10" i="3" s="1"/>
  <c r="AW14" i="4"/>
  <c r="AV14" i="4"/>
  <c r="AU14" i="4"/>
  <c r="AT14" i="4"/>
  <c r="AS14" i="4"/>
  <c r="AR14" i="4"/>
  <c r="AQ14" i="4"/>
  <c r="AP14" i="4"/>
  <c r="AO14" i="4"/>
  <c r="AN14" i="4"/>
  <c r="AM14" i="4"/>
  <c r="AL14" i="4"/>
  <c r="AK14" i="4"/>
  <c r="AJ14" i="4"/>
  <c r="AI14" i="4"/>
  <c r="AH14" i="4"/>
  <c r="AG14" i="4"/>
  <c r="AF14" i="4"/>
  <c r="AE14" i="4"/>
  <c r="AD14" i="4"/>
  <c r="AC14" i="4"/>
  <c r="L14" i="4" s="1"/>
  <c r="AB14" i="4"/>
  <c r="AA14" i="4"/>
  <c r="Z14" i="4"/>
  <c r="Y14" i="4"/>
  <c r="X14" i="4"/>
  <c r="W14" i="4"/>
  <c r="V14" i="4"/>
  <c r="U14" i="4"/>
  <c r="T14" i="4"/>
  <c r="S14" i="4"/>
  <c r="R14" i="4"/>
  <c r="Q14" i="4"/>
  <c r="P14" i="4"/>
  <c r="O14" i="4"/>
  <c r="K14" i="4" s="1"/>
  <c r="N14" i="4"/>
  <c r="BV13" i="4"/>
  <c r="BU13" i="4"/>
  <c r="BT13" i="4"/>
  <c r="BS13" i="4"/>
  <c r="BR13" i="4"/>
  <c r="BQ13" i="4"/>
  <c r="BP13" i="4"/>
  <c r="BO13" i="4"/>
  <c r="BN13" i="4"/>
  <c r="BM13" i="4"/>
  <c r="BL13" i="4"/>
  <c r="BK13" i="4"/>
  <c r="BJ13" i="4"/>
  <c r="BI13" i="4"/>
  <c r="BH13" i="4"/>
  <c r="BG13" i="4"/>
  <c r="BF13" i="4"/>
  <c r="BE13" i="4"/>
  <c r="BD13" i="4"/>
  <c r="BC13" i="4"/>
  <c r="BB13" i="4"/>
  <c r="BA13" i="4"/>
  <c r="AZ13" i="4"/>
  <c r="AY13" i="4"/>
  <c r="AX13" i="4"/>
  <c r="M13" i="4" s="1"/>
  <c r="V9" i="3" s="1"/>
  <c r="W9" i="3" s="1"/>
  <c r="AW13" i="4"/>
  <c r="AV13" i="4"/>
  <c r="AU13" i="4"/>
  <c r="AT13" i="4"/>
  <c r="AS13" i="4"/>
  <c r="AR13" i="4"/>
  <c r="AQ13" i="4"/>
  <c r="AP13" i="4"/>
  <c r="AO13" i="4"/>
  <c r="AN13" i="4"/>
  <c r="AM13" i="4"/>
  <c r="AL13" i="4"/>
  <c r="AK13" i="4"/>
  <c r="AJ13" i="4"/>
  <c r="AI13" i="4"/>
  <c r="AH13" i="4"/>
  <c r="L13" i="4" s="1"/>
  <c r="AG13" i="4"/>
  <c r="AF13" i="4"/>
  <c r="AE13" i="4"/>
  <c r="AD13" i="4"/>
  <c r="AC13" i="4"/>
  <c r="AB13" i="4"/>
  <c r="AA13" i="4"/>
  <c r="Z13" i="4"/>
  <c r="Y13" i="4"/>
  <c r="X13" i="4"/>
  <c r="W13" i="4"/>
  <c r="V13" i="4"/>
  <c r="U13" i="4"/>
  <c r="T13" i="4"/>
  <c r="S13" i="4"/>
  <c r="R13" i="4"/>
  <c r="Q13" i="4"/>
  <c r="P13" i="4"/>
  <c r="O13" i="4"/>
  <c r="K13" i="4" s="1"/>
  <c r="N13" i="4"/>
  <c r="BV12" i="4"/>
  <c r="BU12" i="4"/>
  <c r="BT12" i="4"/>
  <c r="BS12" i="4"/>
  <c r="BR12" i="4"/>
  <c r="BQ12" i="4"/>
  <c r="BP12" i="4"/>
  <c r="BO12" i="4"/>
  <c r="BN12" i="4"/>
  <c r="BM12" i="4"/>
  <c r="BL12" i="4"/>
  <c r="BK12" i="4"/>
  <c r="BJ12" i="4"/>
  <c r="BI12" i="4"/>
  <c r="BH12" i="4"/>
  <c r="BG12" i="4"/>
  <c r="BF12" i="4"/>
  <c r="BE12" i="4"/>
  <c r="BD12" i="4"/>
  <c r="BC12" i="4"/>
  <c r="BB12" i="4"/>
  <c r="BA12" i="4"/>
  <c r="AZ12" i="4"/>
  <c r="AY12" i="4"/>
  <c r="AX12" i="4"/>
  <c r="AW12" i="4"/>
  <c r="AV12" i="4"/>
  <c r="AU12" i="4"/>
  <c r="AT12" i="4"/>
  <c r="AS12" i="4"/>
  <c r="AR12" i="4"/>
  <c r="M12" i="4" s="1"/>
  <c r="S9" i="3" s="1"/>
  <c r="AQ12" i="4"/>
  <c r="AP12" i="4"/>
  <c r="AO12" i="4"/>
  <c r="AN12" i="4"/>
  <c r="AM12" i="4"/>
  <c r="AL12" i="4"/>
  <c r="AK12" i="4"/>
  <c r="AJ12" i="4"/>
  <c r="AI12" i="4"/>
  <c r="AH12" i="4"/>
  <c r="L12" i="4" s="1"/>
  <c r="AG12" i="4"/>
  <c r="AF12" i="4"/>
  <c r="AE12" i="4"/>
  <c r="AD12" i="4"/>
  <c r="AC12" i="4"/>
  <c r="AB12" i="4"/>
  <c r="AA12" i="4"/>
  <c r="Z12" i="4"/>
  <c r="Y12" i="4"/>
  <c r="X12" i="4"/>
  <c r="W12" i="4"/>
  <c r="V12" i="4"/>
  <c r="U12" i="4"/>
  <c r="T12" i="4"/>
  <c r="S12" i="4"/>
  <c r="R12" i="4"/>
  <c r="Q12" i="4"/>
  <c r="P12" i="4"/>
  <c r="K12" i="4" s="1"/>
  <c r="O12" i="4"/>
  <c r="N12" i="4"/>
  <c r="BV11" i="4"/>
  <c r="BU11" i="4"/>
  <c r="BT11" i="4"/>
  <c r="BS11" i="4"/>
  <c r="BR11" i="4"/>
  <c r="BQ11" i="4"/>
  <c r="BP11" i="4"/>
  <c r="BO11" i="4"/>
  <c r="BN11" i="4"/>
  <c r="BM11" i="4"/>
  <c r="BL11" i="4"/>
  <c r="BK11" i="4"/>
  <c r="BJ11" i="4"/>
  <c r="BI11" i="4"/>
  <c r="BH11" i="4"/>
  <c r="BG11" i="4"/>
  <c r="BF11" i="4"/>
  <c r="BE11" i="4"/>
  <c r="BD11" i="4"/>
  <c r="BC11" i="4"/>
  <c r="BB11" i="4"/>
  <c r="BA11" i="4"/>
  <c r="AZ11" i="4"/>
  <c r="AY11" i="4"/>
  <c r="AX11" i="4"/>
  <c r="AW11" i="4"/>
  <c r="AV11" i="4"/>
  <c r="AU11" i="4"/>
  <c r="AT11" i="4"/>
  <c r="AS11" i="4"/>
  <c r="AR11" i="4"/>
  <c r="M11" i="4" s="1"/>
  <c r="V8" i="3" s="1"/>
  <c r="W8" i="3" s="1"/>
  <c r="AQ11" i="4"/>
  <c r="AP11" i="4"/>
  <c r="AO11" i="4"/>
  <c r="AN11" i="4"/>
  <c r="AM11" i="4"/>
  <c r="AL11" i="4"/>
  <c r="AK11" i="4"/>
  <c r="AJ11" i="4"/>
  <c r="AI11" i="4"/>
  <c r="AH11" i="4"/>
  <c r="L11" i="4" s="1"/>
  <c r="AG11" i="4"/>
  <c r="AF11" i="4"/>
  <c r="AE11" i="4"/>
  <c r="AD11" i="4"/>
  <c r="AC11" i="4"/>
  <c r="AB11" i="4"/>
  <c r="AA11" i="4"/>
  <c r="Z11" i="4"/>
  <c r="Y11" i="4"/>
  <c r="X11" i="4"/>
  <c r="W11" i="4"/>
  <c r="V11" i="4"/>
  <c r="U11" i="4"/>
  <c r="T11" i="4"/>
  <c r="S11" i="4"/>
  <c r="R11" i="4"/>
  <c r="Q11" i="4"/>
  <c r="P11" i="4"/>
  <c r="O11" i="4"/>
  <c r="K11" i="4" s="1"/>
  <c r="N11" i="4"/>
  <c r="BV10" i="4"/>
  <c r="BU10" i="4"/>
  <c r="BT10" i="4"/>
  <c r="BS10" i="4"/>
  <c r="BR10" i="4"/>
  <c r="BQ10" i="4"/>
  <c r="BP10" i="4"/>
  <c r="BO10" i="4"/>
  <c r="BN10" i="4"/>
  <c r="BM10" i="4"/>
  <c r="BL10" i="4"/>
  <c r="BK10" i="4"/>
  <c r="BJ10" i="4"/>
  <c r="BI10" i="4"/>
  <c r="BH10" i="4"/>
  <c r="BG10" i="4"/>
  <c r="BF10" i="4"/>
  <c r="BE10" i="4"/>
  <c r="BD10" i="4"/>
  <c r="BC10" i="4"/>
  <c r="BB10" i="4"/>
  <c r="BA10" i="4"/>
  <c r="AZ10" i="4"/>
  <c r="AY10" i="4"/>
  <c r="AX10" i="4"/>
  <c r="AW10" i="4"/>
  <c r="AV10" i="4"/>
  <c r="AU10" i="4"/>
  <c r="AT10" i="4"/>
  <c r="AS10" i="4"/>
  <c r="AR10" i="4"/>
  <c r="M10" i="4" s="1"/>
  <c r="S8" i="3" s="1"/>
  <c r="AQ10" i="4"/>
  <c r="AP10" i="4"/>
  <c r="AO10" i="4"/>
  <c r="AN10" i="4"/>
  <c r="AM10" i="4"/>
  <c r="AL10" i="4"/>
  <c r="AK10" i="4"/>
  <c r="AJ10" i="4"/>
  <c r="AI10" i="4"/>
  <c r="AH10" i="4"/>
  <c r="L10" i="4" s="1"/>
  <c r="AG10" i="4"/>
  <c r="AF10" i="4"/>
  <c r="AE10" i="4"/>
  <c r="AD10" i="4"/>
  <c r="AC10" i="4"/>
  <c r="AB10" i="4"/>
  <c r="AA10" i="4"/>
  <c r="Z10" i="4"/>
  <c r="Y10" i="4"/>
  <c r="X10" i="4"/>
  <c r="W10" i="4"/>
  <c r="V10" i="4"/>
  <c r="U10" i="4"/>
  <c r="T10" i="4"/>
  <c r="S10" i="4"/>
  <c r="R10" i="4"/>
  <c r="Q10" i="4"/>
  <c r="P10" i="4"/>
  <c r="O10" i="4"/>
  <c r="K10" i="4" s="1"/>
  <c r="N10" i="4"/>
  <c r="BV9" i="4"/>
  <c r="BU9" i="4"/>
  <c r="BT9" i="4"/>
  <c r="BS9" i="4"/>
  <c r="BR9" i="4"/>
  <c r="BQ9" i="4"/>
  <c r="BP9" i="4"/>
  <c r="BO9" i="4"/>
  <c r="BN9" i="4"/>
  <c r="BM9" i="4"/>
  <c r="BL9" i="4"/>
  <c r="BK9" i="4"/>
  <c r="BJ9" i="4"/>
  <c r="BI9" i="4"/>
  <c r="BH9" i="4"/>
  <c r="BG9" i="4"/>
  <c r="BF9" i="4"/>
  <c r="BE9" i="4"/>
  <c r="BD9" i="4"/>
  <c r="BC9" i="4"/>
  <c r="BB9" i="4"/>
  <c r="BA9" i="4"/>
  <c r="AZ9" i="4"/>
  <c r="AY9" i="4"/>
  <c r="AX9" i="4"/>
  <c r="AW9" i="4"/>
  <c r="AV9" i="4"/>
  <c r="AU9" i="4"/>
  <c r="AT9" i="4"/>
  <c r="AS9" i="4"/>
  <c r="AR9" i="4"/>
  <c r="M9" i="4" s="1"/>
  <c r="V7" i="3" s="1"/>
  <c r="W7" i="3" s="1"/>
  <c r="AQ9" i="4"/>
  <c r="AP9" i="4"/>
  <c r="AO9" i="4"/>
  <c r="AN9" i="4"/>
  <c r="AM9" i="4"/>
  <c r="AL9" i="4"/>
  <c r="AK9" i="4"/>
  <c r="AJ9" i="4"/>
  <c r="AI9" i="4"/>
  <c r="AH9" i="4"/>
  <c r="L9" i="4" s="1"/>
  <c r="AG9" i="4"/>
  <c r="AF9" i="4"/>
  <c r="AE9" i="4"/>
  <c r="AD9" i="4"/>
  <c r="AC9" i="4"/>
  <c r="AB9" i="4"/>
  <c r="AA9" i="4"/>
  <c r="Z9" i="4"/>
  <c r="Y9" i="4"/>
  <c r="X9" i="4"/>
  <c r="W9" i="4"/>
  <c r="V9" i="4"/>
  <c r="U9" i="4"/>
  <c r="T9" i="4"/>
  <c r="S9" i="4"/>
  <c r="R9" i="4"/>
  <c r="Q9" i="4"/>
  <c r="P9" i="4"/>
  <c r="O9" i="4"/>
  <c r="K9" i="4" s="1"/>
  <c r="N9" i="4"/>
  <c r="BV8" i="4"/>
  <c r="BU8" i="4"/>
  <c r="BT8" i="4"/>
  <c r="BS8" i="4"/>
  <c r="BR8" i="4"/>
  <c r="BQ8" i="4"/>
  <c r="BP8" i="4"/>
  <c r="BO8" i="4"/>
  <c r="BN8" i="4"/>
  <c r="BM8" i="4"/>
  <c r="BL8" i="4"/>
  <c r="BK8" i="4"/>
  <c r="BJ8" i="4"/>
  <c r="BI8" i="4"/>
  <c r="BH8" i="4"/>
  <c r="BG8" i="4"/>
  <c r="BF8" i="4"/>
  <c r="BE8" i="4"/>
  <c r="BD8" i="4"/>
  <c r="BC8" i="4"/>
  <c r="BB8" i="4"/>
  <c r="BA8" i="4"/>
  <c r="AZ8" i="4"/>
  <c r="AY8" i="4"/>
  <c r="AX8" i="4"/>
  <c r="AW8" i="4"/>
  <c r="AV8" i="4"/>
  <c r="AU8" i="4"/>
  <c r="AT8" i="4"/>
  <c r="AS8" i="4"/>
  <c r="AR8" i="4"/>
  <c r="M8" i="4" s="1"/>
  <c r="V6" i="3" s="1"/>
  <c r="W6" i="3" s="1"/>
  <c r="AQ8" i="4"/>
  <c r="AP8" i="4"/>
  <c r="AO8" i="4"/>
  <c r="AN8" i="4"/>
  <c r="AM8" i="4"/>
  <c r="AL8" i="4"/>
  <c r="AK8" i="4"/>
  <c r="AJ8" i="4"/>
  <c r="AI8" i="4"/>
  <c r="AH8" i="4"/>
  <c r="AG8" i="4"/>
  <c r="AF8" i="4"/>
  <c r="AE8" i="4"/>
  <c r="AD8" i="4"/>
  <c r="AC8" i="4"/>
  <c r="AB8" i="4"/>
  <c r="L8" i="4" s="1"/>
  <c r="AA8" i="4"/>
  <c r="Z8" i="4"/>
  <c r="Y8" i="4"/>
  <c r="X8" i="4"/>
  <c r="W8" i="4"/>
  <c r="V8" i="4"/>
  <c r="U8" i="4"/>
  <c r="T8" i="4"/>
  <c r="S8" i="4"/>
  <c r="R8" i="4"/>
  <c r="Q8" i="4"/>
  <c r="P8" i="4"/>
  <c r="O8" i="4"/>
  <c r="K8" i="4" s="1"/>
  <c r="N8" i="4"/>
  <c r="BV7" i="4"/>
  <c r="BU7" i="4"/>
  <c r="BT7" i="4"/>
  <c r="BS7" i="4"/>
  <c r="BR7" i="4"/>
  <c r="BQ7" i="4"/>
  <c r="BP7" i="4"/>
  <c r="BO7" i="4"/>
  <c r="BN7" i="4"/>
  <c r="BM7" i="4"/>
  <c r="BL7" i="4"/>
  <c r="BK7" i="4"/>
  <c r="BJ7" i="4"/>
  <c r="BI7" i="4"/>
  <c r="BH7" i="4"/>
  <c r="BG7" i="4"/>
  <c r="BF7" i="4"/>
  <c r="BE7" i="4"/>
  <c r="BD7" i="4"/>
  <c r="BC7" i="4"/>
  <c r="BB7" i="4"/>
  <c r="BA7" i="4"/>
  <c r="AZ7" i="4"/>
  <c r="AY7" i="4"/>
  <c r="AX7" i="4"/>
  <c r="AW7" i="4"/>
  <c r="AV7" i="4"/>
  <c r="AU7" i="4"/>
  <c r="AT7" i="4"/>
  <c r="AS7" i="4"/>
  <c r="AR7" i="4"/>
  <c r="M7" i="4" s="1"/>
  <c r="S6" i="3" s="1"/>
  <c r="AQ7" i="4"/>
  <c r="AP7" i="4"/>
  <c r="AO7" i="4"/>
  <c r="AN7" i="4"/>
  <c r="AM7" i="4"/>
  <c r="AL7" i="4"/>
  <c r="AK7" i="4"/>
  <c r="AJ7" i="4"/>
  <c r="AI7" i="4"/>
  <c r="AH7" i="4"/>
  <c r="AG7" i="4"/>
  <c r="AF7" i="4"/>
  <c r="AE7" i="4"/>
  <c r="AD7" i="4"/>
  <c r="AC7" i="4"/>
  <c r="AB7" i="4"/>
  <c r="L7" i="4" s="1"/>
  <c r="AA7" i="4"/>
  <c r="Z7" i="4"/>
  <c r="Y7" i="4"/>
  <c r="X7" i="4"/>
  <c r="W7" i="4"/>
  <c r="V7" i="4"/>
  <c r="U7" i="4"/>
  <c r="T7" i="4"/>
  <c r="S7" i="4"/>
  <c r="R7" i="4"/>
  <c r="Q7" i="4"/>
  <c r="P7" i="4"/>
  <c r="O7" i="4"/>
  <c r="K7" i="4" s="1"/>
  <c r="BV6" i="4"/>
  <c r="BU6" i="4"/>
  <c r="BT6" i="4"/>
  <c r="BS6" i="4"/>
  <c r="BR6" i="4"/>
  <c r="BQ6" i="4"/>
  <c r="BP6" i="4"/>
  <c r="BO6" i="4"/>
  <c r="BN6" i="4"/>
  <c r="BM6" i="4"/>
  <c r="BL6" i="4"/>
  <c r="BK6" i="4"/>
  <c r="BJ6" i="4"/>
  <c r="BI6" i="4"/>
  <c r="BH6" i="4"/>
  <c r="BG6" i="4"/>
  <c r="BF6" i="4"/>
  <c r="BE6" i="4"/>
  <c r="BD6" i="4"/>
  <c r="BC6" i="4"/>
  <c r="BB6" i="4"/>
  <c r="BA6" i="4"/>
  <c r="AZ6" i="4"/>
  <c r="AY6" i="4"/>
  <c r="AX6" i="4"/>
  <c r="AW6" i="4"/>
  <c r="AV6" i="4"/>
  <c r="AU6" i="4"/>
  <c r="AT6" i="4"/>
  <c r="AS6" i="4"/>
  <c r="AR6" i="4"/>
  <c r="M6" i="4" s="1"/>
  <c r="V5" i="3" s="1"/>
  <c r="AQ6" i="4"/>
  <c r="AP6" i="4"/>
  <c r="AO6" i="4"/>
  <c r="AN6" i="4"/>
  <c r="AM6" i="4"/>
  <c r="AL6" i="4"/>
  <c r="AK6" i="4"/>
  <c r="AJ6" i="4"/>
  <c r="AI6" i="4"/>
  <c r="AH6" i="4"/>
  <c r="L6" i="4" s="1"/>
  <c r="AG6" i="4"/>
  <c r="AF6" i="4"/>
  <c r="AE6" i="4"/>
  <c r="AD6" i="4"/>
  <c r="AC6" i="4"/>
  <c r="AB6" i="4"/>
  <c r="AA6" i="4"/>
  <c r="Z6" i="4"/>
  <c r="Y6" i="4"/>
  <c r="X6" i="4"/>
  <c r="W6" i="4"/>
  <c r="V6" i="4"/>
  <c r="U6" i="4"/>
  <c r="T6" i="4"/>
  <c r="S6" i="4"/>
  <c r="R6" i="4"/>
  <c r="Q6" i="4"/>
  <c r="P6" i="4"/>
  <c r="O6" i="4"/>
  <c r="K6" i="4" s="1"/>
  <c r="N6"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M5" i="4" s="1"/>
  <c r="S5" i="3" s="1"/>
  <c r="AQ5" i="4"/>
  <c r="AP5" i="4"/>
  <c r="AO5" i="4"/>
  <c r="AN5" i="4"/>
  <c r="AM5" i="4"/>
  <c r="AL5" i="4"/>
  <c r="AK5" i="4"/>
  <c r="AJ5" i="4"/>
  <c r="AI5" i="4"/>
  <c r="AH5" i="4"/>
  <c r="L5" i="4" s="1"/>
  <c r="AG5" i="4"/>
  <c r="AF5" i="4"/>
  <c r="AE5" i="4"/>
  <c r="AD5" i="4"/>
  <c r="AC5" i="4"/>
  <c r="AB5" i="4"/>
  <c r="AA5" i="4"/>
  <c r="Z5" i="4"/>
  <c r="Y5" i="4"/>
  <c r="X5" i="4"/>
  <c r="W5" i="4"/>
  <c r="V5" i="4"/>
  <c r="U5" i="4"/>
  <c r="T5" i="4"/>
  <c r="S5" i="4"/>
  <c r="R5" i="4"/>
  <c r="Q5" i="4"/>
  <c r="P5" i="4"/>
  <c r="O5" i="4"/>
  <c r="K5" i="4" s="1"/>
  <c r="AN22" i="3"/>
  <c r="AM22" i="3"/>
  <c r="AL22" i="3"/>
  <c r="AK22" i="3"/>
  <c r="AJ22" i="3"/>
  <c r="AI22" i="3"/>
  <c r="AH22" i="3"/>
  <c r="AG22" i="3"/>
  <c r="AT22" i="3" s="1"/>
  <c r="R22" i="3"/>
  <c r="Q22" i="3"/>
  <c r="P22" i="3"/>
  <c r="O22" i="3"/>
  <c r="N22" i="3"/>
  <c r="M22" i="3"/>
  <c r="AN21" i="3"/>
  <c r="AM21" i="3"/>
  <c r="AL21" i="3"/>
  <c r="AK21" i="3"/>
  <c r="AJ21" i="3"/>
  <c r="AI21" i="3"/>
  <c r="AH21" i="3"/>
  <c r="AG21" i="3"/>
  <c r="S21" i="3"/>
  <c r="R21" i="3"/>
  <c r="Q21" i="3"/>
  <c r="P21" i="3"/>
  <c r="O21" i="3"/>
  <c r="N21" i="3"/>
  <c r="M21" i="3"/>
  <c r="AN20" i="3"/>
  <c r="AM20" i="3"/>
  <c r="AL20" i="3"/>
  <c r="AT20" i="3" s="1"/>
  <c r="V20" i="3"/>
  <c r="W20" i="3" s="1"/>
  <c r="R20" i="3"/>
  <c r="Q20" i="3"/>
  <c r="P20" i="3"/>
  <c r="AN19" i="3"/>
  <c r="AM19" i="3"/>
  <c r="AL19" i="3"/>
  <c r="AK19" i="3"/>
  <c r="AJ19" i="3"/>
  <c r="V19" i="3"/>
  <c r="W19" i="3" s="1"/>
  <c r="R19" i="3"/>
  <c r="Q19" i="3"/>
  <c r="P19" i="3"/>
  <c r="AN18" i="3"/>
  <c r="AM18" i="3"/>
  <c r="AL18" i="3"/>
  <c r="AK18" i="3"/>
  <c r="AJ18" i="3"/>
  <c r="AI18" i="3"/>
  <c r="AH18" i="3"/>
  <c r="AG18" i="3"/>
  <c r="V18" i="3"/>
  <c r="W18" i="3" s="1"/>
  <c r="S18" i="3"/>
  <c r="R18" i="3"/>
  <c r="Q18" i="3"/>
  <c r="P18" i="3"/>
  <c r="O18" i="3"/>
  <c r="N18" i="3"/>
  <c r="M18" i="3"/>
  <c r="AN17" i="3"/>
  <c r="AM17" i="3"/>
  <c r="AL17" i="3"/>
  <c r="AK17" i="3"/>
  <c r="AJ17" i="3"/>
  <c r="R17" i="3"/>
  <c r="Q17" i="3"/>
  <c r="P17" i="3"/>
  <c r="AN16" i="3"/>
  <c r="AM16" i="3"/>
  <c r="AL16" i="3"/>
  <c r="AK16" i="3"/>
  <c r="AJ16" i="3"/>
  <c r="R16" i="3"/>
  <c r="Q16" i="3"/>
  <c r="P16" i="3"/>
  <c r="AN15" i="3"/>
  <c r="AM15" i="3"/>
  <c r="AL15" i="3"/>
  <c r="AK15" i="3"/>
  <c r="AJ15" i="3"/>
  <c r="AT15" i="3" s="1"/>
  <c r="R15" i="3"/>
  <c r="Q15" i="3"/>
  <c r="P15" i="3"/>
  <c r="AN14" i="3"/>
  <c r="AM14" i="3"/>
  <c r="AL14" i="3"/>
  <c r="AK14" i="3"/>
  <c r="AJ14" i="3"/>
  <c r="AI14" i="3"/>
  <c r="AH14" i="3"/>
  <c r="AG14" i="3"/>
  <c r="R14" i="3"/>
  <c r="Q14" i="3"/>
  <c r="P14" i="3"/>
  <c r="O14" i="3"/>
  <c r="N14" i="3"/>
  <c r="M14" i="3"/>
  <c r="AN13" i="3"/>
  <c r="AM13" i="3"/>
  <c r="AL13" i="3"/>
  <c r="AK13" i="3"/>
  <c r="AJ13" i="3"/>
  <c r="AI13" i="3"/>
  <c r="AH13" i="3"/>
  <c r="AG13" i="3"/>
  <c r="R13" i="3"/>
  <c r="Q13" i="3"/>
  <c r="P13" i="3"/>
  <c r="O13" i="3"/>
  <c r="N13" i="3"/>
  <c r="M13" i="3"/>
  <c r="AN12" i="3"/>
  <c r="AM12" i="3"/>
  <c r="AL12" i="3"/>
  <c r="AI12" i="3"/>
  <c r="AH12" i="3"/>
  <c r="AG12" i="3"/>
  <c r="R12" i="3"/>
  <c r="Q12" i="3"/>
  <c r="P12" i="3"/>
  <c r="O12" i="3"/>
  <c r="N12" i="3"/>
  <c r="M12" i="3"/>
  <c r="AN11" i="3"/>
  <c r="AM11" i="3"/>
  <c r="AL11" i="3"/>
  <c r="R11" i="3"/>
  <c r="Q11" i="3"/>
  <c r="P11" i="3"/>
  <c r="AN10" i="3"/>
  <c r="AM10" i="3"/>
  <c r="AL10" i="3"/>
  <c r="AK10" i="3"/>
  <c r="AJ10" i="3"/>
  <c r="AI10" i="3"/>
  <c r="AH10" i="3"/>
  <c r="AG10" i="3"/>
  <c r="R10" i="3"/>
  <c r="Q10" i="3"/>
  <c r="P10" i="3"/>
  <c r="O10" i="3"/>
  <c r="N10" i="3"/>
  <c r="M10" i="3"/>
  <c r="AN9" i="3"/>
  <c r="AM9" i="3"/>
  <c r="AL9" i="3"/>
  <c r="AK9" i="3"/>
  <c r="AJ9" i="3"/>
  <c r="AI9" i="3"/>
  <c r="AH9" i="3"/>
  <c r="AG9" i="3"/>
  <c r="R9" i="3"/>
  <c r="Q9" i="3"/>
  <c r="P9" i="3"/>
  <c r="O9" i="3"/>
  <c r="N9" i="3"/>
  <c r="M9" i="3"/>
  <c r="AN8" i="3"/>
  <c r="AM8" i="3"/>
  <c r="AL8" i="3"/>
  <c r="AK8" i="3"/>
  <c r="AJ8" i="3"/>
  <c r="AI8" i="3"/>
  <c r="AH8" i="3"/>
  <c r="AG8" i="3"/>
  <c r="R8" i="3"/>
  <c r="Q8" i="3"/>
  <c r="P8" i="3"/>
  <c r="O8" i="3"/>
  <c r="N8" i="3"/>
  <c r="M8" i="3"/>
  <c r="AN7" i="3"/>
  <c r="AM7" i="3"/>
  <c r="AL7" i="3"/>
  <c r="AK7" i="3"/>
  <c r="AJ7" i="3"/>
  <c r="AT7" i="3" s="1"/>
  <c r="R7" i="3"/>
  <c r="Q7" i="3"/>
  <c r="P7" i="3"/>
  <c r="AN6" i="3"/>
  <c r="AM6" i="3"/>
  <c r="AL6" i="3"/>
  <c r="AK6" i="3"/>
  <c r="AJ6" i="3"/>
  <c r="AI6" i="3"/>
  <c r="AH6" i="3"/>
  <c r="AG6" i="3"/>
  <c r="R6" i="3"/>
  <c r="Q6" i="3"/>
  <c r="P6" i="3"/>
  <c r="O6" i="3"/>
  <c r="N6" i="3"/>
  <c r="M6" i="3"/>
  <c r="AN5" i="3"/>
  <c r="AM5" i="3"/>
  <c r="AL5" i="3"/>
  <c r="AI5" i="3"/>
  <c r="AH5" i="3"/>
  <c r="AG5" i="3"/>
  <c r="R5" i="3"/>
  <c r="Q5" i="3"/>
  <c r="P5" i="3"/>
  <c r="O5" i="3"/>
  <c r="N5" i="3"/>
  <c r="M5" i="3"/>
  <c r="X15" i="5" l="1"/>
  <c r="W19" i="5"/>
  <c r="X19" i="5" s="1"/>
  <c r="W6" i="5"/>
  <c r="W23" i="5"/>
  <c r="X9" i="5"/>
  <c r="X17" i="5"/>
  <c r="X6" i="5"/>
  <c r="X7" i="5"/>
  <c r="X14" i="5"/>
  <c r="X22" i="5"/>
  <c r="X23" i="5"/>
  <c r="X21" i="5"/>
  <c r="X18" i="5"/>
  <c r="X20" i="5"/>
  <c r="X5" i="5"/>
  <c r="AV15" i="5"/>
  <c r="AV16" i="5"/>
  <c r="AV19" i="5"/>
  <c r="AV7" i="5"/>
  <c r="W26" i="5"/>
  <c r="M26" i="5"/>
  <c r="Q26" i="5"/>
  <c r="N26" i="5"/>
  <c r="O26" i="5"/>
  <c r="S26" i="5"/>
  <c r="P26" i="5"/>
  <c r="AV13" i="5"/>
  <c r="R26" i="5"/>
  <c r="AV11" i="5"/>
  <c r="AV23" i="5"/>
  <c r="Y26" i="5"/>
  <c r="AV10" i="5"/>
  <c r="AV21" i="5"/>
  <c r="AV22" i="5"/>
  <c r="AV9" i="5"/>
  <c r="AV18" i="5"/>
  <c r="AV8" i="5"/>
  <c r="AV17" i="5"/>
  <c r="AV12" i="5"/>
  <c r="AV20" i="5"/>
  <c r="AV5" i="5"/>
  <c r="V26" i="5"/>
  <c r="AV6" i="5"/>
  <c r="AV14" i="5"/>
  <c r="AT16" i="3"/>
  <c r="AT18" i="3"/>
  <c r="AT10" i="3"/>
  <c r="AT14" i="3"/>
  <c r="AT13" i="3"/>
  <c r="AT19" i="3"/>
  <c r="AT21" i="3"/>
  <c r="AT17" i="3"/>
  <c r="AT11" i="3"/>
  <c r="AT6" i="3"/>
  <c r="AT5" i="3"/>
  <c r="AT8" i="3"/>
  <c r="AT12" i="3"/>
  <c r="AT9" i="3"/>
  <c r="X2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A6" authorId="0" shapeId="0" xr:uid="{00000000-0006-0000-0200-000002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ホンダ</t>
        </r>
        <r>
          <rPr>
            <sz val="10"/>
            <rFont val="Arial"/>
            <family val="2"/>
          </rPr>
          <t>1,005.3</t>
        </r>
        <r>
          <rPr>
            <sz val="10"/>
            <rFont val="Noto Sans CJK SC"/>
            <family val="2"/>
          </rPr>
          <t>＝</t>
        </r>
        <r>
          <rPr>
            <sz val="10"/>
            <rFont val="Arial"/>
            <family val="2"/>
          </rPr>
          <t>1005</t>
        </r>
        <r>
          <rPr>
            <sz val="10"/>
            <rFont val="Noto Sans CJK SC"/>
            <family val="2"/>
          </rPr>
          <t>百万円</t>
        </r>
      </text>
    </comment>
    <comment ref="AA7" authorId="0" shapeId="0" xr:uid="{00000000-0006-0000-0200-000003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トヨタ</t>
        </r>
        <r>
          <rPr>
            <sz val="10"/>
            <rFont val="Arial"/>
            <family val="2"/>
          </rPr>
          <t>126.0</t>
        </r>
        <r>
          <rPr>
            <sz val="10"/>
            <rFont val="Noto Sans CJK SC"/>
            <family val="2"/>
          </rPr>
          <t>＋日立</t>
        </r>
        <r>
          <rPr>
            <sz val="10"/>
            <rFont val="Arial"/>
            <family val="2"/>
          </rPr>
          <t>1,690.7</t>
        </r>
        <r>
          <rPr>
            <sz val="10"/>
            <rFont val="Noto Sans CJK SC"/>
            <family val="2"/>
          </rPr>
          <t>＝</t>
        </r>
        <r>
          <rPr>
            <sz val="10"/>
            <rFont val="Arial"/>
            <family val="2"/>
          </rPr>
          <t>1817</t>
        </r>
        <r>
          <rPr>
            <sz val="10"/>
            <rFont val="Noto Sans CJK SC"/>
            <family val="2"/>
          </rPr>
          <t>百万円</t>
        </r>
      </text>
    </comment>
    <comment ref="AA8" authorId="0" shapeId="0" xr:uid="{00000000-0006-0000-0200-000004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竹中工務店</t>
        </r>
        <r>
          <rPr>
            <sz val="10"/>
            <rFont val="Arial"/>
            <family val="2"/>
          </rPr>
          <t>50.0</t>
        </r>
        <r>
          <rPr>
            <sz val="10"/>
            <rFont val="Noto Sans CJK SC"/>
            <family val="2"/>
          </rPr>
          <t>＋中部電力</t>
        </r>
        <r>
          <rPr>
            <sz val="10"/>
            <rFont val="Arial"/>
            <family val="2"/>
          </rPr>
          <t>202.5</t>
        </r>
        <r>
          <rPr>
            <sz val="10"/>
            <rFont val="Noto Sans CJK SC"/>
            <family val="2"/>
          </rPr>
          <t>＝</t>
        </r>
        <r>
          <rPr>
            <sz val="10"/>
            <rFont val="Arial"/>
            <family val="2"/>
          </rPr>
          <t>252</t>
        </r>
        <r>
          <rPr>
            <sz val="10"/>
            <rFont val="Noto Sans CJK SC"/>
            <family val="2"/>
          </rPr>
          <t>百万円</t>
        </r>
      </text>
    </comment>
    <comment ref="AA9" authorId="0" shapeId="0" xr:uid="{00000000-0006-0000-0200-000005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博報堂</t>
        </r>
        <r>
          <rPr>
            <sz val="10"/>
            <rFont val="Arial"/>
            <family val="2"/>
          </rPr>
          <t>63.0</t>
        </r>
        <r>
          <rPr>
            <sz val="10"/>
            <rFont val="Noto Sans CJK SC"/>
            <family val="2"/>
          </rPr>
          <t>＋</t>
        </r>
        <r>
          <rPr>
            <sz val="10"/>
            <rFont val="Arial"/>
            <family val="2"/>
          </rPr>
          <t>JTB165.0</t>
        </r>
        <r>
          <rPr>
            <sz val="10"/>
            <rFont val="Noto Sans CJK SC"/>
            <family val="2"/>
          </rPr>
          <t>＋</t>
        </r>
        <r>
          <rPr>
            <sz val="10"/>
            <rFont val="Arial"/>
            <family val="2"/>
          </rPr>
          <t>JR</t>
        </r>
        <r>
          <rPr>
            <sz val="10"/>
            <rFont val="Noto Sans CJK SC"/>
            <family val="2"/>
          </rPr>
          <t>北海道</t>
        </r>
        <r>
          <rPr>
            <sz val="10"/>
            <rFont val="Arial"/>
            <family val="2"/>
          </rPr>
          <t>104.0</t>
        </r>
        <r>
          <rPr>
            <sz val="10"/>
            <rFont val="Noto Sans CJK SC"/>
            <family val="2"/>
          </rPr>
          <t>＝</t>
        </r>
        <r>
          <rPr>
            <sz val="10"/>
            <rFont val="Arial"/>
            <family val="2"/>
          </rPr>
          <t>332</t>
        </r>
        <r>
          <rPr>
            <sz val="10"/>
            <rFont val="Noto Sans CJK SC"/>
            <family val="2"/>
          </rPr>
          <t>百万円</t>
        </r>
      </text>
    </comment>
    <comment ref="AA10" authorId="0" shapeId="0" xr:uid="{00000000-0006-0000-0200-000006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山九</t>
        </r>
        <r>
          <rPr>
            <sz val="10"/>
            <rFont val="Arial"/>
            <family val="2"/>
          </rPr>
          <t>125.0</t>
        </r>
        <r>
          <rPr>
            <sz val="10"/>
            <rFont val="Noto Sans CJK SC"/>
            <family val="2"/>
          </rPr>
          <t>＝</t>
        </r>
        <r>
          <rPr>
            <sz val="10"/>
            <rFont val="Arial"/>
            <family val="2"/>
          </rPr>
          <t>125</t>
        </r>
        <r>
          <rPr>
            <sz val="10"/>
            <rFont val="Noto Sans CJK SC"/>
            <family val="2"/>
          </rPr>
          <t>百万円</t>
        </r>
      </text>
    </comment>
    <comment ref="AA13" authorId="0" shapeId="0" xr:uid="{00000000-0006-0000-0200-000007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三菱</t>
        </r>
        <r>
          <rPr>
            <sz val="10"/>
            <rFont val="Arial"/>
            <family val="2"/>
          </rPr>
          <t>UFJ200.0</t>
        </r>
        <r>
          <rPr>
            <sz val="10"/>
            <rFont val="Noto Sans CJK SC"/>
            <family val="2"/>
          </rPr>
          <t>＋野村</t>
        </r>
        <r>
          <rPr>
            <sz val="10"/>
            <rFont val="Arial"/>
            <family val="2"/>
          </rPr>
          <t>HD200.0</t>
        </r>
        <r>
          <rPr>
            <sz val="10"/>
            <rFont val="Noto Sans CJK SC"/>
            <family val="2"/>
          </rPr>
          <t>＝</t>
        </r>
        <r>
          <rPr>
            <sz val="10"/>
            <rFont val="Arial"/>
            <family val="2"/>
          </rPr>
          <t>400</t>
        </r>
        <r>
          <rPr>
            <sz val="10"/>
            <rFont val="Noto Sans CJK SC"/>
            <family val="2"/>
          </rPr>
          <t>百万円</t>
        </r>
      </text>
    </comment>
    <comment ref="AA14" authorId="0" shapeId="0" xr:uid="{00000000-0006-0000-0200-000008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国税庁</t>
        </r>
        <r>
          <rPr>
            <sz val="10"/>
            <rFont val="Arial"/>
            <family val="2"/>
          </rPr>
          <t>200.0</t>
        </r>
        <r>
          <rPr>
            <sz val="10"/>
            <rFont val="Noto Sans CJK SC"/>
            <family val="2"/>
          </rPr>
          <t>＋協会けんぽ</t>
        </r>
        <r>
          <rPr>
            <sz val="10"/>
            <rFont val="Arial"/>
            <family val="2"/>
          </rPr>
          <t>96.0</t>
        </r>
        <r>
          <rPr>
            <sz val="10"/>
            <rFont val="Noto Sans CJK SC"/>
            <family val="2"/>
          </rPr>
          <t>＝</t>
        </r>
        <r>
          <rPr>
            <sz val="10"/>
            <rFont val="Arial"/>
            <family val="2"/>
          </rPr>
          <t>296</t>
        </r>
        <r>
          <rPr>
            <sz val="10"/>
            <rFont val="Noto Sans CJK SC"/>
            <family val="2"/>
          </rPr>
          <t>百万円</t>
        </r>
      </text>
    </comment>
    <comment ref="AA15" authorId="0" shapeId="0" xr:uid="{00000000-0006-0000-0200-000009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厚生労働省</t>
        </r>
        <r>
          <rPr>
            <sz val="10"/>
            <rFont val="Arial"/>
            <family val="2"/>
          </rPr>
          <t>311.0</t>
        </r>
        <r>
          <rPr>
            <sz val="10"/>
            <rFont val="Noto Sans CJK SC"/>
            <family val="2"/>
          </rPr>
          <t>＝</t>
        </r>
        <r>
          <rPr>
            <sz val="10"/>
            <rFont val="Arial"/>
            <family val="2"/>
          </rPr>
          <t>311</t>
        </r>
        <r>
          <rPr>
            <sz val="10"/>
            <rFont val="Noto Sans CJK SC"/>
            <family val="2"/>
          </rPr>
          <t>百万円</t>
        </r>
      </text>
    </comment>
    <comment ref="AA16" authorId="0" shapeId="0" xr:uid="{00000000-0006-0000-0200-00000A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農林水産省</t>
        </r>
        <r>
          <rPr>
            <sz val="10"/>
            <rFont val="Arial"/>
            <family val="2"/>
          </rPr>
          <t>200.0</t>
        </r>
        <r>
          <rPr>
            <sz val="10"/>
            <rFont val="Noto Sans CJK SC"/>
            <family val="2"/>
          </rPr>
          <t>＋国土交通省</t>
        </r>
        <r>
          <rPr>
            <sz val="10"/>
            <rFont val="Arial"/>
            <family val="2"/>
          </rPr>
          <t>268.0</t>
        </r>
        <r>
          <rPr>
            <sz val="10"/>
            <rFont val="Noto Sans CJK SC"/>
            <family val="2"/>
          </rPr>
          <t>＋経済産業省</t>
        </r>
        <r>
          <rPr>
            <sz val="10"/>
            <rFont val="Arial"/>
            <family val="2"/>
          </rPr>
          <t>245.0</t>
        </r>
        <r>
          <rPr>
            <sz val="10"/>
            <rFont val="Noto Sans CJK SC"/>
            <family val="2"/>
          </rPr>
          <t>＝</t>
        </r>
        <r>
          <rPr>
            <sz val="10"/>
            <rFont val="Arial"/>
            <family val="2"/>
          </rPr>
          <t>713</t>
        </r>
        <r>
          <rPr>
            <sz val="10"/>
            <rFont val="Noto Sans CJK SC"/>
            <family val="2"/>
          </rPr>
          <t>百万円</t>
        </r>
      </text>
    </comment>
    <comment ref="AA17" authorId="0" shapeId="0" xr:uid="{00000000-0006-0000-0200-00000B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郵政グループ</t>
        </r>
        <r>
          <rPr>
            <sz val="10"/>
            <rFont val="Arial"/>
            <family val="2"/>
          </rPr>
          <t>200.0</t>
        </r>
        <r>
          <rPr>
            <sz val="10"/>
            <rFont val="Noto Sans CJK SC"/>
            <family val="2"/>
          </rPr>
          <t>＝</t>
        </r>
        <r>
          <rPr>
            <sz val="10"/>
            <rFont val="Arial"/>
            <family val="2"/>
          </rPr>
          <t>200</t>
        </r>
        <r>
          <rPr>
            <sz val="10"/>
            <rFont val="Noto Sans CJK SC"/>
            <family val="2"/>
          </rPr>
          <t>百万円</t>
        </r>
      </text>
    </comment>
    <comment ref="AA18" authorId="0" shapeId="0" xr:uid="{00000000-0006-0000-0200-00000C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 xml:space="preserve">「予算」シート 年計（合計行）
</t>
        </r>
        <r>
          <rPr>
            <sz val="10"/>
            <rFont val="Arial"/>
            <family val="2"/>
          </rPr>
          <t>NEC1,178.9</t>
        </r>
        <r>
          <rPr>
            <sz val="10"/>
            <rFont val="Noto Sans CJK SC"/>
            <family val="2"/>
          </rPr>
          <t>＝</t>
        </r>
        <r>
          <rPr>
            <sz val="10"/>
            <rFont val="Arial"/>
            <family val="2"/>
          </rPr>
          <t>1179</t>
        </r>
        <r>
          <rPr>
            <sz val="10"/>
            <rFont val="Noto Sans CJK SC"/>
            <family val="2"/>
          </rPr>
          <t>百万円</t>
        </r>
      </text>
    </comment>
    <comment ref="AA19" authorId="0" shapeId="0" xr:uid="{00000000-0006-0000-0200-00000D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パナソニック</t>
        </r>
        <r>
          <rPr>
            <sz val="10"/>
            <rFont val="Arial"/>
            <family val="2"/>
          </rPr>
          <t>215.0</t>
        </r>
        <r>
          <rPr>
            <sz val="10"/>
            <rFont val="Noto Sans CJK SC"/>
            <family val="2"/>
          </rPr>
          <t>＝</t>
        </r>
        <r>
          <rPr>
            <sz val="10"/>
            <rFont val="Arial"/>
            <family val="2"/>
          </rPr>
          <t>215</t>
        </r>
        <r>
          <rPr>
            <sz val="10"/>
            <rFont val="Noto Sans CJK SC"/>
            <family val="2"/>
          </rPr>
          <t>百万円</t>
        </r>
      </text>
    </comment>
    <comment ref="AA21" authorId="0" shapeId="0" xr:uid="{00000000-0006-0000-0200-00000E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 xml:space="preserve">「予算」シート 年計（合計行）
</t>
        </r>
        <r>
          <rPr>
            <sz val="10"/>
            <rFont val="Arial"/>
            <family val="2"/>
          </rPr>
          <t>NTT</t>
        </r>
        <r>
          <rPr>
            <sz val="10"/>
            <rFont val="Noto Sans CJK SC"/>
            <family val="2"/>
          </rPr>
          <t>データ</t>
        </r>
        <r>
          <rPr>
            <sz val="10"/>
            <rFont val="Arial"/>
            <family val="2"/>
          </rPr>
          <t>2,819.6</t>
        </r>
        <r>
          <rPr>
            <sz val="10"/>
            <rFont val="Noto Sans CJK SC"/>
            <family val="2"/>
          </rPr>
          <t>＋</t>
        </r>
        <r>
          <rPr>
            <sz val="10"/>
            <rFont val="Arial"/>
            <family val="2"/>
          </rPr>
          <t>KDDI1,059.0</t>
        </r>
        <r>
          <rPr>
            <sz val="10"/>
            <rFont val="Noto Sans CJK SC"/>
            <family val="2"/>
          </rPr>
          <t>＝</t>
        </r>
        <r>
          <rPr>
            <sz val="10"/>
            <rFont val="Arial"/>
            <family val="2"/>
          </rPr>
          <t>3879</t>
        </r>
        <r>
          <rPr>
            <sz val="10"/>
            <rFont val="Noto Sans CJK SC"/>
            <family val="2"/>
          </rPr>
          <t>百万円</t>
        </r>
      </text>
    </comment>
    <comment ref="AA22" authorId="0" shapeId="0" xr:uid="{00000000-0006-0000-0200-00000F000000}">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 xml:space="preserve">「予算」シート 年計（合計行）
</t>
        </r>
        <r>
          <rPr>
            <sz val="10"/>
            <rFont val="Arial"/>
            <family val="2"/>
          </rPr>
          <t>ANA474.0</t>
        </r>
        <r>
          <rPr>
            <sz val="10"/>
            <rFont val="Noto Sans CJK SC"/>
            <family val="2"/>
          </rPr>
          <t>＋</t>
        </r>
        <r>
          <rPr>
            <sz val="10"/>
            <rFont val="Arial"/>
            <family val="2"/>
          </rPr>
          <t>JAL89.6</t>
        </r>
        <r>
          <rPr>
            <sz val="10"/>
            <rFont val="Noto Sans CJK SC"/>
            <family val="2"/>
          </rPr>
          <t>＝</t>
        </r>
        <r>
          <rPr>
            <sz val="10"/>
            <rFont val="Arial"/>
            <family val="2"/>
          </rPr>
          <t>564</t>
        </r>
        <r>
          <rPr>
            <sz val="10"/>
            <rFont val="Noto Sans CJK SC"/>
            <family val="2"/>
          </rPr>
          <t>百万円</t>
        </r>
      </text>
    </comment>
    <comment ref="C23" authorId="0" shapeId="0" xr:uid="{00000000-0006-0000-0200-000001000000}">
      <text>
        <r>
          <rPr>
            <sz val="10"/>
            <rFont val="Noto Sans CJK SC"/>
            <family val="2"/>
          </rPr>
          <t>入社日は仮置き（</t>
        </r>
        <r>
          <rPr>
            <sz val="10"/>
            <rFont val="Arial"/>
            <family val="2"/>
          </rPr>
          <t>2026/8/1</t>
        </r>
        <r>
          <rPr>
            <sz val="10"/>
            <rFont val="Noto Sans CJK SC"/>
            <family val="2"/>
          </rPr>
          <t>）。確定後に更新してください。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C6" authorId="0" shapeId="0" xr:uid="{0F849CDB-E246-44A4-8123-9E51553333A1}">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ホンダ</t>
        </r>
        <r>
          <rPr>
            <sz val="10"/>
            <rFont val="Arial"/>
            <family val="2"/>
          </rPr>
          <t>1,005.3</t>
        </r>
        <r>
          <rPr>
            <sz val="10"/>
            <rFont val="Noto Sans CJK SC"/>
            <family val="2"/>
          </rPr>
          <t>＝</t>
        </r>
        <r>
          <rPr>
            <sz val="10"/>
            <rFont val="Arial"/>
            <family val="2"/>
          </rPr>
          <t>1005</t>
        </r>
        <r>
          <rPr>
            <sz val="10"/>
            <rFont val="Noto Sans CJK SC"/>
            <family val="2"/>
          </rPr>
          <t>百万円</t>
        </r>
      </text>
    </comment>
    <comment ref="AC7" authorId="0" shapeId="0" xr:uid="{19482B58-CC53-48C9-A2DA-E9094BAF2F76}">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トヨタ</t>
        </r>
        <r>
          <rPr>
            <sz val="10"/>
            <rFont val="Arial"/>
            <family val="2"/>
          </rPr>
          <t>126.0</t>
        </r>
        <r>
          <rPr>
            <sz val="10"/>
            <rFont val="Noto Sans CJK SC"/>
            <family val="2"/>
          </rPr>
          <t>＋日立</t>
        </r>
        <r>
          <rPr>
            <sz val="10"/>
            <rFont val="Arial"/>
            <family val="2"/>
          </rPr>
          <t>1,690.7</t>
        </r>
        <r>
          <rPr>
            <sz val="10"/>
            <rFont val="Noto Sans CJK SC"/>
            <family val="2"/>
          </rPr>
          <t>＝</t>
        </r>
        <r>
          <rPr>
            <sz val="10"/>
            <rFont val="Arial"/>
            <family val="2"/>
          </rPr>
          <t>1817</t>
        </r>
        <r>
          <rPr>
            <sz val="10"/>
            <rFont val="Noto Sans CJK SC"/>
            <family val="2"/>
          </rPr>
          <t>百万円</t>
        </r>
      </text>
    </comment>
    <comment ref="AC8" authorId="0" shapeId="0" xr:uid="{08ADCD33-3869-477D-B94A-299AD2F9E7F8}">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竹中工務店</t>
        </r>
        <r>
          <rPr>
            <sz val="10"/>
            <rFont val="Arial"/>
            <family val="2"/>
          </rPr>
          <t>50.0</t>
        </r>
        <r>
          <rPr>
            <sz val="10"/>
            <rFont val="Noto Sans CJK SC"/>
            <family val="2"/>
          </rPr>
          <t>＋中部電力</t>
        </r>
        <r>
          <rPr>
            <sz val="10"/>
            <rFont val="Arial"/>
            <family val="2"/>
          </rPr>
          <t>202.5</t>
        </r>
        <r>
          <rPr>
            <sz val="10"/>
            <rFont val="Noto Sans CJK SC"/>
            <family val="2"/>
          </rPr>
          <t>＝</t>
        </r>
        <r>
          <rPr>
            <sz val="10"/>
            <rFont val="Arial"/>
            <family val="2"/>
          </rPr>
          <t>252</t>
        </r>
        <r>
          <rPr>
            <sz val="10"/>
            <rFont val="Noto Sans CJK SC"/>
            <family val="2"/>
          </rPr>
          <t>百万円</t>
        </r>
      </text>
    </comment>
    <comment ref="AC9" authorId="0" shapeId="0" xr:uid="{1FB8F4C3-0F74-4DBA-BAD6-91F00EA21B65}">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博報堂</t>
        </r>
        <r>
          <rPr>
            <sz val="10"/>
            <rFont val="Arial"/>
            <family val="2"/>
          </rPr>
          <t>63.0</t>
        </r>
        <r>
          <rPr>
            <sz val="10"/>
            <rFont val="Noto Sans CJK SC"/>
            <family val="2"/>
          </rPr>
          <t>＋</t>
        </r>
        <r>
          <rPr>
            <sz val="10"/>
            <rFont val="Arial"/>
            <family val="2"/>
          </rPr>
          <t>JTB165.0</t>
        </r>
        <r>
          <rPr>
            <sz val="10"/>
            <rFont val="Noto Sans CJK SC"/>
            <family val="2"/>
          </rPr>
          <t>＋</t>
        </r>
        <r>
          <rPr>
            <sz val="10"/>
            <rFont val="Arial"/>
            <family val="2"/>
          </rPr>
          <t>JR</t>
        </r>
        <r>
          <rPr>
            <sz val="10"/>
            <rFont val="Noto Sans CJK SC"/>
            <family val="2"/>
          </rPr>
          <t>北海道</t>
        </r>
        <r>
          <rPr>
            <sz val="10"/>
            <rFont val="Arial"/>
            <family val="2"/>
          </rPr>
          <t>104.0</t>
        </r>
        <r>
          <rPr>
            <sz val="10"/>
            <rFont val="Noto Sans CJK SC"/>
            <family val="2"/>
          </rPr>
          <t>＝</t>
        </r>
        <r>
          <rPr>
            <sz val="10"/>
            <rFont val="Arial"/>
            <family val="2"/>
          </rPr>
          <t>332</t>
        </r>
        <r>
          <rPr>
            <sz val="10"/>
            <rFont val="Noto Sans CJK SC"/>
            <family val="2"/>
          </rPr>
          <t>百万円</t>
        </r>
      </text>
    </comment>
    <comment ref="AC10" authorId="0" shapeId="0" xr:uid="{1A99271F-59BB-4886-96E3-D67EACB59836}">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山九</t>
        </r>
        <r>
          <rPr>
            <sz val="10"/>
            <rFont val="Arial"/>
            <family val="2"/>
          </rPr>
          <t>125.0</t>
        </r>
        <r>
          <rPr>
            <sz val="10"/>
            <rFont val="Noto Sans CJK SC"/>
            <family val="2"/>
          </rPr>
          <t>＝</t>
        </r>
        <r>
          <rPr>
            <sz val="10"/>
            <rFont val="Arial"/>
            <family val="2"/>
          </rPr>
          <t>125</t>
        </r>
        <r>
          <rPr>
            <sz val="10"/>
            <rFont val="Noto Sans CJK SC"/>
            <family val="2"/>
          </rPr>
          <t>百万円</t>
        </r>
      </text>
    </comment>
    <comment ref="AC13" authorId="0" shapeId="0" xr:uid="{BBAB2A30-6828-4682-A899-A12F54B20697}">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三菱</t>
        </r>
        <r>
          <rPr>
            <sz val="10"/>
            <rFont val="Arial"/>
            <family val="2"/>
          </rPr>
          <t>UFJ200.0</t>
        </r>
        <r>
          <rPr>
            <sz val="10"/>
            <rFont val="Noto Sans CJK SC"/>
            <family val="2"/>
          </rPr>
          <t>＋野村</t>
        </r>
        <r>
          <rPr>
            <sz val="10"/>
            <rFont val="Arial"/>
            <family val="2"/>
          </rPr>
          <t>HD200.0</t>
        </r>
        <r>
          <rPr>
            <sz val="10"/>
            <rFont val="Noto Sans CJK SC"/>
            <family val="2"/>
          </rPr>
          <t>＝</t>
        </r>
        <r>
          <rPr>
            <sz val="10"/>
            <rFont val="Arial"/>
            <family val="2"/>
          </rPr>
          <t>400</t>
        </r>
        <r>
          <rPr>
            <sz val="10"/>
            <rFont val="Noto Sans CJK SC"/>
            <family val="2"/>
          </rPr>
          <t>百万円</t>
        </r>
      </text>
    </comment>
    <comment ref="AC14" authorId="0" shapeId="0" xr:uid="{25FCEA17-0327-48F2-80B9-1C5C37578F56}">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国税庁</t>
        </r>
        <r>
          <rPr>
            <sz val="10"/>
            <rFont val="Arial"/>
            <family val="2"/>
          </rPr>
          <t>200.0</t>
        </r>
        <r>
          <rPr>
            <sz val="10"/>
            <rFont val="Noto Sans CJK SC"/>
            <family val="2"/>
          </rPr>
          <t>＋協会けんぽ</t>
        </r>
        <r>
          <rPr>
            <sz val="10"/>
            <rFont val="Arial"/>
            <family val="2"/>
          </rPr>
          <t>96.0</t>
        </r>
        <r>
          <rPr>
            <sz val="10"/>
            <rFont val="Noto Sans CJK SC"/>
            <family val="2"/>
          </rPr>
          <t>＝</t>
        </r>
        <r>
          <rPr>
            <sz val="10"/>
            <rFont val="Arial"/>
            <family val="2"/>
          </rPr>
          <t>296</t>
        </r>
        <r>
          <rPr>
            <sz val="10"/>
            <rFont val="Noto Sans CJK SC"/>
            <family val="2"/>
          </rPr>
          <t>百万円</t>
        </r>
      </text>
    </comment>
    <comment ref="AC15" authorId="0" shapeId="0" xr:uid="{D343A4C6-33E2-479B-9556-08B6140BBFB2}">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厚生労働省</t>
        </r>
        <r>
          <rPr>
            <sz val="10"/>
            <rFont val="Arial"/>
            <family val="2"/>
          </rPr>
          <t>311.0</t>
        </r>
        <r>
          <rPr>
            <sz val="10"/>
            <rFont val="Noto Sans CJK SC"/>
            <family val="2"/>
          </rPr>
          <t>＝</t>
        </r>
        <r>
          <rPr>
            <sz val="10"/>
            <rFont val="Arial"/>
            <family val="2"/>
          </rPr>
          <t>311</t>
        </r>
        <r>
          <rPr>
            <sz val="10"/>
            <rFont val="Noto Sans CJK SC"/>
            <family val="2"/>
          </rPr>
          <t>百万円</t>
        </r>
      </text>
    </comment>
    <comment ref="AC16" authorId="0" shapeId="0" xr:uid="{3304BD4F-081D-4525-A627-B08C5C0A37F7}">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農林水産省</t>
        </r>
        <r>
          <rPr>
            <sz val="10"/>
            <rFont val="Arial"/>
            <family val="2"/>
          </rPr>
          <t>200.0</t>
        </r>
        <r>
          <rPr>
            <sz val="10"/>
            <rFont val="Noto Sans CJK SC"/>
            <family val="2"/>
          </rPr>
          <t>＋国土交通省</t>
        </r>
        <r>
          <rPr>
            <sz val="10"/>
            <rFont val="Arial"/>
            <family val="2"/>
          </rPr>
          <t>268.0</t>
        </r>
        <r>
          <rPr>
            <sz val="10"/>
            <rFont val="Noto Sans CJK SC"/>
            <family val="2"/>
          </rPr>
          <t>＋経済産業省</t>
        </r>
        <r>
          <rPr>
            <sz val="10"/>
            <rFont val="Arial"/>
            <family val="2"/>
          </rPr>
          <t>245.0</t>
        </r>
        <r>
          <rPr>
            <sz val="10"/>
            <rFont val="Noto Sans CJK SC"/>
            <family val="2"/>
          </rPr>
          <t>＝</t>
        </r>
        <r>
          <rPr>
            <sz val="10"/>
            <rFont val="Arial"/>
            <family val="2"/>
          </rPr>
          <t>713</t>
        </r>
        <r>
          <rPr>
            <sz val="10"/>
            <rFont val="Noto Sans CJK SC"/>
            <family val="2"/>
          </rPr>
          <t>百万円</t>
        </r>
      </text>
    </comment>
    <comment ref="AC17" authorId="0" shapeId="0" xr:uid="{1B8CA629-27F0-4DD5-807D-774B2FB3FE9D}">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郵政グループ</t>
        </r>
        <r>
          <rPr>
            <sz val="10"/>
            <rFont val="Arial"/>
            <family val="2"/>
          </rPr>
          <t>200.0</t>
        </r>
        <r>
          <rPr>
            <sz val="10"/>
            <rFont val="Noto Sans CJK SC"/>
            <family val="2"/>
          </rPr>
          <t>＝</t>
        </r>
        <r>
          <rPr>
            <sz val="10"/>
            <rFont val="Arial"/>
            <family val="2"/>
          </rPr>
          <t>200</t>
        </r>
        <r>
          <rPr>
            <sz val="10"/>
            <rFont val="Noto Sans CJK SC"/>
            <family val="2"/>
          </rPr>
          <t>百万円</t>
        </r>
      </text>
    </comment>
    <comment ref="AC18" authorId="0" shapeId="0" xr:uid="{1AA98977-29F7-4882-9EA1-08363D1A6D64}">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 xml:space="preserve">「予算」シート 年計（合計行）
</t>
        </r>
        <r>
          <rPr>
            <sz val="10"/>
            <rFont val="Arial"/>
            <family val="2"/>
          </rPr>
          <t>NEC1,178.9</t>
        </r>
        <r>
          <rPr>
            <sz val="10"/>
            <rFont val="Noto Sans CJK SC"/>
            <family val="2"/>
          </rPr>
          <t>＝</t>
        </r>
        <r>
          <rPr>
            <sz val="10"/>
            <rFont val="Arial"/>
            <family val="2"/>
          </rPr>
          <t>1179</t>
        </r>
        <r>
          <rPr>
            <sz val="10"/>
            <rFont val="Noto Sans CJK SC"/>
            <family val="2"/>
          </rPr>
          <t>百万円</t>
        </r>
      </text>
    </comment>
    <comment ref="AC19" authorId="0" shapeId="0" xr:uid="{B1D72E61-26A8-4CC7-A7EA-06EEFC3CBD52}">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「予算」シート 年計（合計行）
パナソニック</t>
        </r>
        <r>
          <rPr>
            <sz val="10"/>
            <rFont val="Arial"/>
            <family val="2"/>
          </rPr>
          <t>215.0</t>
        </r>
        <r>
          <rPr>
            <sz val="10"/>
            <rFont val="Noto Sans CJK SC"/>
            <family val="2"/>
          </rPr>
          <t>＝</t>
        </r>
        <r>
          <rPr>
            <sz val="10"/>
            <rFont val="Arial"/>
            <family val="2"/>
          </rPr>
          <t>215</t>
        </r>
        <r>
          <rPr>
            <sz val="10"/>
            <rFont val="Noto Sans CJK SC"/>
            <family val="2"/>
          </rPr>
          <t>百万円</t>
        </r>
      </text>
    </comment>
    <comment ref="AC21" authorId="0" shapeId="0" xr:uid="{7E8A5888-51BB-4FA0-97FA-78774FD81835}">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 xml:space="preserve">「予算」シート 年計（合計行）
</t>
        </r>
        <r>
          <rPr>
            <sz val="10"/>
            <rFont val="Arial"/>
            <family val="2"/>
          </rPr>
          <t>NTT</t>
        </r>
        <r>
          <rPr>
            <sz val="10"/>
            <rFont val="Noto Sans CJK SC"/>
            <family val="2"/>
          </rPr>
          <t>データ</t>
        </r>
        <r>
          <rPr>
            <sz val="10"/>
            <rFont val="Arial"/>
            <family val="2"/>
          </rPr>
          <t>2,819.6</t>
        </r>
        <r>
          <rPr>
            <sz val="10"/>
            <rFont val="Noto Sans CJK SC"/>
            <family val="2"/>
          </rPr>
          <t>＋</t>
        </r>
        <r>
          <rPr>
            <sz val="10"/>
            <rFont val="Arial"/>
            <family val="2"/>
          </rPr>
          <t>KDDI1,059.0</t>
        </r>
        <r>
          <rPr>
            <sz val="10"/>
            <rFont val="Noto Sans CJK SC"/>
            <family val="2"/>
          </rPr>
          <t>＝</t>
        </r>
        <r>
          <rPr>
            <sz val="10"/>
            <rFont val="Arial"/>
            <family val="2"/>
          </rPr>
          <t>3879</t>
        </r>
        <r>
          <rPr>
            <sz val="10"/>
            <rFont val="Noto Sans CJK SC"/>
            <family val="2"/>
          </rPr>
          <t>百万円</t>
        </r>
      </text>
    </comment>
    <comment ref="AC22" authorId="0" shapeId="0" xr:uid="{B9044E22-4578-46B8-AFA1-AE4AC5011826}">
      <text>
        <r>
          <rPr>
            <sz val="10"/>
            <rFont val="Noto Sans CJK SC"/>
            <family val="2"/>
          </rPr>
          <t>出典：</t>
        </r>
        <r>
          <rPr>
            <sz val="10"/>
            <rFont val="Arial"/>
            <family val="2"/>
          </rPr>
          <t>9</t>
        </r>
        <r>
          <rPr>
            <sz val="10"/>
            <rFont val="Noto Sans CJK SC"/>
            <family val="2"/>
          </rPr>
          <t>月度アカウント別予算達成状況</t>
        </r>
        <r>
          <rPr>
            <sz val="10"/>
            <rFont val="Arial"/>
            <family val="2"/>
          </rPr>
          <t>_v2</t>
        </r>
        <r>
          <rPr>
            <sz val="10"/>
            <rFont val="Noto Sans CJK SC"/>
            <family val="2"/>
          </rPr>
          <t xml:space="preserve">「予算」シート 年計（合計行）
</t>
        </r>
        <r>
          <rPr>
            <sz val="10"/>
            <rFont val="Arial"/>
            <family val="2"/>
          </rPr>
          <t>ANA474.0</t>
        </r>
        <r>
          <rPr>
            <sz val="10"/>
            <rFont val="Noto Sans CJK SC"/>
            <family val="2"/>
          </rPr>
          <t>＋</t>
        </r>
        <r>
          <rPr>
            <sz val="10"/>
            <rFont val="Arial"/>
            <family val="2"/>
          </rPr>
          <t>JAL89.6</t>
        </r>
        <r>
          <rPr>
            <sz val="10"/>
            <rFont val="Noto Sans CJK SC"/>
            <family val="2"/>
          </rPr>
          <t>＝</t>
        </r>
        <r>
          <rPr>
            <sz val="10"/>
            <rFont val="Arial"/>
            <family val="2"/>
          </rPr>
          <t>564</t>
        </r>
        <r>
          <rPr>
            <sz val="10"/>
            <rFont val="Noto Sans CJK SC"/>
            <family val="2"/>
          </rPr>
          <t>百万円</t>
        </r>
      </text>
    </comment>
    <comment ref="C23" authorId="0" shapeId="0" xr:uid="{50921FEF-60F7-4741-8756-3A3779786FF5}">
      <text>
        <r>
          <rPr>
            <sz val="10"/>
            <rFont val="Noto Sans CJK SC"/>
            <family val="2"/>
          </rPr>
          <t>入社日は仮置き（</t>
        </r>
        <r>
          <rPr>
            <sz val="10"/>
            <rFont val="Arial"/>
            <family val="2"/>
          </rPr>
          <t>2026/8/1</t>
        </r>
        <r>
          <rPr>
            <sz val="10"/>
            <rFont val="Noto Sans CJK SC"/>
            <family val="2"/>
          </rPr>
          <t>）。確定後に更新してください。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34" authorId="0" shapeId="0" xr:uid="{00000000-0006-0000-0300-000001000000}">
      <text>
        <r>
          <rPr>
            <sz val="10"/>
            <rFont val="Noto Sans CJK SC"/>
            <family val="2"/>
          </rPr>
          <t>入社日は仮置き（</t>
        </r>
        <r>
          <rPr>
            <sz val="10"/>
            <rFont val="Arial"/>
            <family val="2"/>
          </rPr>
          <t>2026/8/1</t>
        </r>
        <r>
          <rPr>
            <sz val="10"/>
            <rFont val="Noto Sans CJK SC"/>
            <family val="2"/>
          </rPr>
          <t>）。確定後に更新してください。</t>
        </r>
      </text>
    </comment>
    <comment ref="G35" authorId="0" shapeId="0" xr:uid="{00000000-0006-0000-0300-000002000000}">
      <text>
        <r>
          <rPr>
            <sz val="10"/>
            <rFont val="Noto Sans CJK SC"/>
            <family val="2"/>
          </rPr>
          <t>入社日は仮置き（</t>
        </r>
        <r>
          <rPr>
            <sz val="10"/>
            <rFont val="Arial"/>
            <family val="2"/>
          </rPr>
          <t>2026/8/1</t>
        </r>
        <r>
          <rPr>
            <sz val="10"/>
            <rFont val="Noto Sans CJK SC"/>
            <family val="2"/>
          </rPr>
          <t>）。確定後に更新してください。</t>
        </r>
      </text>
    </comment>
  </commentList>
</comments>
</file>

<file path=xl/sharedStrings.xml><?xml version="1.0" encoding="utf-8"?>
<sst xmlns="http://schemas.openxmlformats.org/spreadsheetml/2006/main" count="1631" uniqueCount="410">
  <si>
    <r>
      <rPr>
        <sz val="8"/>
        <color theme="1"/>
        <rFont val="游ゴシック"/>
        <family val="2"/>
        <charset val="128"/>
      </rPr>
      <t>KPI</t>
    </r>
    <r>
      <rPr>
        <sz val="8"/>
        <color theme="1"/>
        <rFont val="Noto Sans CJK SC"/>
        <family val="2"/>
      </rPr>
      <t>該当有無の整理</t>
    </r>
  </si>
  <si>
    <r>
      <rPr>
        <sz val="8"/>
        <color theme="1"/>
        <rFont val="游ゴシック"/>
        <family val="2"/>
        <charset val="128"/>
      </rPr>
      <t>FY25</t>
    </r>
    <r>
      <rPr>
        <sz val="8"/>
        <color theme="1"/>
        <rFont val="Noto Sans CJK SC"/>
        <family val="2"/>
      </rPr>
      <t>対象</t>
    </r>
  </si>
  <si>
    <r>
      <rPr>
        <sz val="8"/>
        <color theme="1"/>
        <rFont val="游ゴシック"/>
        <family val="2"/>
        <charset val="128"/>
      </rPr>
      <t>FY26</t>
    </r>
    <r>
      <rPr>
        <sz val="8"/>
        <color theme="1"/>
        <rFont val="Noto Sans CJK SC"/>
        <family val="2"/>
      </rPr>
      <t>対象</t>
    </r>
  </si>
  <si>
    <r>
      <rPr>
        <sz val="8"/>
        <color theme="1"/>
        <rFont val="游ゴシック"/>
        <family val="2"/>
        <charset val="128"/>
      </rPr>
      <t>Practice</t>
    </r>
    <r>
      <rPr>
        <sz val="8"/>
        <color theme="1"/>
        <rFont val="Noto Sans CJK SC"/>
        <family val="2"/>
      </rPr>
      <t>リーダー</t>
    </r>
    <r>
      <rPr>
        <sz val="8"/>
        <color theme="1"/>
        <rFont val="游ゴシック"/>
        <family val="2"/>
        <charset val="128"/>
      </rPr>
      <t>KPI</t>
    </r>
  </si>
  <si>
    <r>
      <rPr>
        <sz val="8"/>
        <color theme="1"/>
        <rFont val="游ゴシック"/>
        <family val="2"/>
        <charset val="128"/>
      </rPr>
      <t>MD</t>
    </r>
    <r>
      <rPr>
        <sz val="8"/>
        <color theme="1"/>
        <rFont val="Noto Sans CJK SC"/>
        <family val="2"/>
      </rPr>
      <t>・</t>
    </r>
    <r>
      <rPr>
        <sz val="8"/>
        <color theme="1"/>
        <rFont val="游ゴシック"/>
        <family val="2"/>
        <charset val="128"/>
      </rPr>
      <t xml:space="preserve">D </t>
    </r>
    <r>
      <rPr>
        <sz val="8"/>
        <color theme="1"/>
        <rFont val="Noto Sans CJK SC"/>
        <family val="2"/>
      </rPr>
      <t>個人</t>
    </r>
    <r>
      <rPr>
        <sz val="8"/>
        <color theme="1"/>
        <rFont val="游ゴシック"/>
        <family val="2"/>
        <charset val="128"/>
      </rPr>
      <t>KPI</t>
    </r>
  </si>
  <si>
    <r>
      <rPr>
        <sz val="8"/>
        <color theme="1"/>
        <rFont val="游ゴシック"/>
        <family val="2"/>
        <charset val="128"/>
      </rPr>
      <t>Account</t>
    </r>
    <r>
      <rPr>
        <sz val="8"/>
        <color theme="1"/>
        <rFont val="Noto Sans CJK SC"/>
        <family val="2"/>
      </rPr>
      <t xml:space="preserve">リーダー </t>
    </r>
    <r>
      <rPr>
        <sz val="8"/>
        <color theme="1"/>
        <rFont val="游ゴシック"/>
        <family val="2"/>
        <charset val="128"/>
      </rPr>
      <t>KPI</t>
    </r>
  </si>
  <si>
    <r>
      <rPr>
        <sz val="8"/>
        <color theme="1"/>
        <rFont val="Noto Sans CJK SC"/>
        <family val="2"/>
      </rPr>
      <t>非財務</t>
    </r>
    <r>
      <rPr>
        <sz val="8"/>
        <color theme="1"/>
        <rFont val="Meiryo UI"/>
        <family val="2"/>
        <charset val="1"/>
      </rPr>
      <t>KPI</t>
    </r>
  </si>
  <si>
    <t>Weight</t>
  </si>
  <si>
    <r>
      <rPr>
        <sz val="8"/>
        <color rgb="FFFFFFFF"/>
        <rFont val="Meiryo UI"/>
        <family val="3"/>
        <charset val="128"/>
      </rPr>
      <t>KPI</t>
    </r>
    <r>
      <rPr>
        <sz val="8"/>
        <color rgb="FFFFFFFF"/>
        <rFont val="Noto Sans CJK SC"/>
        <family val="2"/>
      </rPr>
      <t>該当有無の整理</t>
    </r>
  </si>
  <si>
    <r>
      <rPr>
        <sz val="8"/>
        <color rgb="FFFFFFFF"/>
        <rFont val="Meiryo UI"/>
        <family val="3"/>
        <charset val="128"/>
      </rPr>
      <t>FY25</t>
    </r>
    <r>
      <rPr>
        <sz val="8"/>
        <color rgb="FFFFFFFF"/>
        <rFont val="Noto Sans CJK SC"/>
        <family val="2"/>
      </rPr>
      <t>対象</t>
    </r>
  </si>
  <si>
    <r>
      <rPr>
        <sz val="8"/>
        <color rgb="FFFFFFFF"/>
        <rFont val="Meiryo UI"/>
        <family val="3"/>
        <charset val="128"/>
      </rPr>
      <t>FY26</t>
    </r>
    <r>
      <rPr>
        <sz val="8"/>
        <color rgb="FFFFFFFF"/>
        <rFont val="Noto Sans CJK SC"/>
        <family val="2"/>
      </rPr>
      <t>対象</t>
    </r>
  </si>
  <si>
    <r>
      <rPr>
        <sz val="8"/>
        <color rgb="FFFFFFFF"/>
        <rFont val="Meiryo UI"/>
        <family val="3"/>
        <charset val="128"/>
      </rPr>
      <t>Practice</t>
    </r>
    <r>
      <rPr>
        <sz val="8"/>
        <color rgb="FFFFFFFF"/>
        <rFont val="Noto Sans CJK SC"/>
        <family val="2"/>
      </rPr>
      <t>リーダー</t>
    </r>
    <r>
      <rPr>
        <sz val="8"/>
        <color rgb="FFFFFFFF"/>
        <rFont val="Meiryo UI"/>
        <family val="3"/>
        <charset val="128"/>
      </rPr>
      <t>KPI</t>
    </r>
  </si>
  <si>
    <r>
      <rPr>
        <sz val="8"/>
        <color rgb="FFFFFFFF"/>
        <rFont val="Meiryo UI"/>
        <family val="3"/>
        <charset val="128"/>
      </rPr>
      <t>MD</t>
    </r>
    <r>
      <rPr>
        <sz val="8"/>
        <color rgb="FFFFFFFF"/>
        <rFont val="Noto Sans CJK SC"/>
        <family val="2"/>
      </rPr>
      <t>・</t>
    </r>
    <r>
      <rPr>
        <sz val="8"/>
        <color rgb="FFFFFFFF"/>
        <rFont val="Meiryo UI"/>
        <family val="3"/>
        <charset val="128"/>
      </rPr>
      <t xml:space="preserve">D </t>
    </r>
    <r>
      <rPr>
        <sz val="8"/>
        <color rgb="FFFFFFFF"/>
        <rFont val="Noto Sans CJK SC"/>
        <family val="2"/>
      </rPr>
      <t>個人</t>
    </r>
    <r>
      <rPr>
        <sz val="8"/>
        <color rgb="FFFFFFFF"/>
        <rFont val="Meiryo UI"/>
        <family val="3"/>
        <charset val="128"/>
      </rPr>
      <t>KPI</t>
    </r>
  </si>
  <si>
    <r>
      <rPr>
        <sz val="8"/>
        <color rgb="FFFFFFFF"/>
        <rFont val="Meiryo UI"/>
        <family val="3"/>
        <charset val="128"/>
      </rPr>
      <t>Account</t>
    </r>
    <r>
      <rPr>
        <sz val="8"/>
        <color rgb="FFFFFFFF"/>
        <rFont val="Noto Sans CJK SC"/>
        <family val="2"/>
      </rPr>
      <t xml:space="preserve">リーダー </t>
    </r>
    <r>
      <rPr>
        <sz val="8"/>
        <color rgb="FFFFFFFF"/>
        <rFont val="Meiryo UI"/>
        <family val="3"/>
        <charset val="128"/>
      </rPr>
      <t>KPI</t>
    </r>
  </si>
  <si>
    <r>
      <rPr>
        <sz val="8"/>
        <color rgb="FFFFFFFF"/>
        <rFont val="Noto Sans CJK SC"/>
        <family val="2"/>
      </rPr>
      <t>非財務</t>
    </r>
    <r>
      <rPr>
        <sz val="8"/>
        <color rgb="FFFFFFFF"/>
        <rFont val="Meiryo UI"/>
        <family val="2"/>
        <charset val="1"/>
      </rPr>
      <t>KPI</t>
    </r>
  </si>
  <si>
    <t>対象有無</t>
  </si>
  <si>
    <t>評価期間</t>
  </si>
  <si>
    <t>グロス売上</t>
  </si>
  <si>
    <t>Sales Contribution</t>
  </si>
  <si>
    <t>グロス稼働率</t>
  </si>
  <si>
    <r>
      <rPr>
        <sz val="8"/>
        <color rgb="FFFFFFFF"/>
        <rFont val="Noto Sans CJK SC"/>
        <family val="2"/>
      </rPr>
      <t>グロス</t>
    </r>
    <r>
      <rPr>
        <sz val="8"/>
        <color rgb="FFFFFFFF"/>
        <rFont val="Meiryo UI"/>
        <family val="2"/>
        <charset val="1"/>
      </rPr>
      <t>Discount</t>
    </r>
    <r>
      <rPr>
        <sz val="8"/>
        <color rgb="FFFFFFFF"/>
        <rFont val="Noto Sans CJK SC"/>
        <family val="2"/>
      </rPr>
      <t>率</t>
    </r>
  </si>
  <si>
    <t>Managed Revenue</t>
  </si>
  <si>
    <t>有償稼働率</t>
  </si>
  <si>
    <r>
      <rPr>
        <sz val="8"/>
        <color rgb="FFFFFFFF"/>
        <rFont val="Meiryo UI"/>
        <family val="3"/>
        <charset val="128"/>
      </rPr>
      <t xml:space="preserve">Account </t>
    </r>
    <r>
      <rPr>
        <sz val="8"/>
        <color rgb="FFFFFFFF"/>
        <rFont val="Noto Sans CJK SC"/>
        <family val="2"/>
      </rPr>
      <t>リーダー</t>
    </r>
  </si>
  <si>
    <r>
      <rPr>
        <sz val="8"/>
        <color rgb="FFFFFFFF"/>
        <rFont val="Meiryo UI"/>
        <family val="3"/>
        <charset val="128"/>
      </rPr>
      <t>MD</t>
    </r>
    <r>
      <rPr>
        <sz val="8"/>
        <color rgb="FFFFFFFF"/>
        <rFont val="Noto Sans CJK SC"/>
        <family val="2"/>
      </rPr>
      <t>・</t>
    </r>
    <r>
      <rPr>
        <sz val="8"/>
        <color rgb="FFFFFFFF"/>
        <rFont val="Meiryo UI"/>
        <family val="3"/>
        <charset val="128"/>
      </rPr>
      <t>D</t>
    </r>
    <r>
      <rPr>
        <sz val="8"/>
        <color rgb="FFFFFFFF"/>
        <rFont val="Noto Sans CJK SC"/>
        <family val="2"/>
      </rPr>
      <t>個人</t>
    </r>
  </si>
  <si>
    <t>非財務</t>
  </si>
  <si>
    <t>合計</t>
  </si>
  <si>
    <t>氏名</t>
  </si>
  <si>
    <t>入社年月日</t>
  </si>
  <si>
    <t>Title</t>
  </si>
  <si>
    <t>Organization</t>
  </si>
  <si>
    <r>
      <rPr>
        <sz val="8"/>
        <color rgb="FFFFFFFF"/>
        <rFont val="Noto Sans CJK SC"/>
        <family val="2"/>
      </rPr>
      <t>所属</t>
    </r>
    <r>
      <rPr>
        <sz val="8"/>
        <color rgb="FFFFFFFF"/>
        <rFont val="Meiryo UI"/>
        <family val="2"/>
        <charset val="1"/>
      </rPr>
      <t>Pracice</t>
    </r>
  </si>
  <si>
    <r>
      <rPr>
        <sz val="8"/>
        <color rgb="FFFFFFFF"/>
        <rFont val="Meiryo UI"/>
        <family val="3"/>
        <charset val="128"/>
      </rPr>
      <t>Practice</t>
    </r>
    <r>
      <rPr>
        <sz val="8"/>
        <color rgb="FFFFFFFF"/>
        <rFont val="Noto Sans CJK SC"/>
        <family val="2"/>
      </rPr>
      <t xml:space="preserve">リーダー </t>
    </r>
    <r>
      <rPr>
        <sz val="8"/>
        <color rgb="FFFFFFFF"/>
        <rFont val="Meiryo UI"/>
        <family val="3"/>
        <charset val="128"/>
      </rPr>
      <t>KPI</t>
    </r>
  </si>
  <si>
    <t>MDD KPI</t>
  </si>
  <si>
    <r>
      <rPr>
        <sz val="8"/>
        <color rgb="FFFFFFFF"/>
        <rFont val="Noto Sans CJK SC"/>
        <family val="2"/>
      </rPr>
      <t>入社</t>
    </r>
    <r>
      <rPr>
        <sz val="8"/>
        <color rgb="FFFFFFFF"/>
        <rFont val="Meiryo UI"/>
        <family val="2"/>
        <charset val="1"/>
      </rPr>
      <t>1</t>
    </r>
    <r>
      <rPr>
        <sz val="8"/>
        <color rgb="FFFFFFFF"/>
        <rFont val="Noto Sans CJK SC"/>
        <family val="2"/>
      </rPr>
      <t>年目</t>
    </r>
  </si>
  <si>
    <r>
      <rPr>
        <sz val="8"/>
        <color rgb="FFFFFFFF"/>
        <rFont val="Noto Sans CJK SC"/>
        <family val="2"/>
      </rPr>
      <t>入社</t>
    </r>
    <r>
      <rPr>
        <sz val="8"/>
        <color rgb="FFFFFFFF"/>
        <rFont val="Meiryo UI"/>
        <family val="2"/>
        <charset val="1"/>
      </rPr>
      <t>2</t>
    </r>
    <r>
      <rPr>
        <sz val="8"/>
        <color rgb="FFFFFFFF"/>
        <rFont val="Noto Sans CJK SC"/>
        <family val="2"/>
      </rPr>
      <t>年目</t>
    </r>
  </si>
  <si>
    <r>
      <rPr>
        <sz val="8"/>
        <color rgb="FFFFFFFF"/>
        <rFont val="Noto Sans CJK SC"/>
        <family val="2"/>
      </rPr>
      <t>入社</t>
    </r>
    <r>
      <rPr>
        <sz val="8"/>
        <color rgb="FFFFFFFF"/>
        <rFont val="Meiryo UI"/>
        <family val="2"/>
        <charset val="1"/>
      </rPr>
      <t>3</t>
    </r>
    <r>
      <rPr>
        <sz val="8"/>
        <color rgb="FFFFFFFF"/>
        <rFont val="Noto Sans CJK SC"/>
        <family val="2"/>
      </rPr>
      <t>年目</t>
    </r>
  </si>
  <si>
    <t>FY26</t>
  </si>
  <si>
    <t>アカウント名</t>
  </si>
  <si>
    <t>アカウント受注額</t>
  </si>
  <si>
    <t>アカウント売上高</t>
  </si>
  <si>
    <t>採用</t>
  </si>
  <si>
    <t>顧客リレーション</t>
  </si>
  <si>
    <t>リード創出</t>
  </si>
  <si>
    <t>教育／育成</t>
  </si>
  <si>
    <t>Thought Leadership</t>
  </si>
  <si>
    <r>
      <rPr>
        <sz val="8"/>
        <color rgb="FFFFFFFF"/>
        <rFont val="Noto Sans CJK SC"/>
        <family val="2"/>
      </rPr>
      <t>有償稼働率</t>
    </r>
    <r>
      <rPr>
        <sz val="8"/>
        <color rgb="FFFFFFFF"/>
        <rFont val="Meiryo UI"/>
        <family val="2"/>
        <charset val="1"/>
      </rPr>
      <t>(</t>
    </r>
    <r>
      <rPr>
        <sz val="8"/>
        <color rgb="FFFFFFFF"/>
        <rFont val="Noto Sans CJK SC"/>
        <family val="2"/>
      </rPr>
      <t>組織トータル</t>
    </r>
    <r>
      <rPr>
        <sz val="8"/>
        <color rgb="FFFFFFFF"/>
        <rFont val="Meiryo UI"/>
        <family val="2"/>
        <charset val="1"/>
      </rPr>
      <t>)</t>
    </r>
  </si>
  <si>
    <r>
      <rPr>
        <sz val="8"/>
        <color rgb="FFFFFFFF"/>
        <rFont val="Noto Sans CJK SC"/>
        <family val="2"/>
      </rPr>
      <t>有償稼働率</t>
    </r>
    <r>
      <rPr>
        <sz val="8"/>
        <color rgb="FFFFFFFF"/>
        <rFont val="Meiryo UI"/>
        <family val="2"/>
        <charset val="1"/>
      </rPr>
      <t>(</t>
    </r>
    <r>
      <rPr>
        <sz val="8"/>
        <color rgb="FFFFFFFF"/>
        <rFont val="Noto Sans CJK SC"/>
        <family val="2"/>
      </rPr>
      <t>個人</t>
    </r>
    <r>
      <rPr>
        <sz val="8"/>
        <color rgb="FFFFFFFF"/>
        <rFont val="Meiryo UI"/>
        <family val="2"/>
        <charset val="1"/>
      </rPr>
      <t>)</t>
    </r>
  </si>
  <si>
    <t>セールス前工程</t>
  </si>
  <si>
    <r>
      <rPr>
        <sz val="8"/>
        <color rgb="FFFFFFFF"/>
        <rFont val="Meiryo UI"/>
        <family val="3"/>
        <charset val="128"/>
      </rPr>
      <t>AI</t>
    </r>
    <r>
      <rPr>
        <sz val="8"/>
        <color rgb="FFFFFFFF"/>
        <rFont val="Noto Sans CJK SC"/>
        <family val="2"/>
      </rPr>
      <t>活用</t>
    </r>
  </si>
  <si>
    <t>渋谷 賢吾</t>
  </si>
  <si>
    <t>MD</t>
  </si>
  <si>
    <t>Industry</t>
  </si>
  <si>
    <t>Telecom</t>
  </si>
  <si>
    <t>○</t>
  </si>
  <si>
    <t>Yes</t>
  </si>
  <si>
    <t>KDDI</t>
  </si>
  <si>
    <r>
      <rPr>
        <sz val="8"/>
        <color rgb="FF000000"/>
        <rFont val="Noto Sans CJK SC"/>
        <family val="2"/>
      </rPr>
      <t>・通信業界の戦略コンサルタント経験者を年間</t>
    </r>
    <r>
      <rPr>
        <sz val="8"/>
        <color rgb="FF000000"/>
        <rFont val="Meiryo UI"/>
        <family val="2"/>
        <charset val="1"/>
      </rPr>
      <t>7</t>
    </r>
    <r>
      <rPr>
        <sz val="8"/>
        <color rgb="FF000000"/>
        <rFont val="Noto Sans CJK SC"/>
        <family val="2"/>
      </rPr>
      <t>名以上面談し、うち</t>
    </r>
    <r>
      <rPr>
        <sz val="8"/>
        <color rgb="FF000000"/>
        <rFont val="Meiryo UI"/>
        <family val="2"/>
        <charset val="1"/>
      </rPr>
      <t>3</t>
    </r>
    <r>
      <rPr>
        <sz val="8"/>
        <color rgb="FF000000"/>
        <rFont val="Noto Sans CJK SC"/>
        <family val="2"/>
      </rPr>
      <t>名以上の内定承諾に貢献</t>
    </r>
  </si>
  <si>
    <r>
      <rPr>
        <sz val="8"/>
        <color rgb="FF000000"/>
        <rFont val="Noto Sans CJK SC"/>
        <family val="2"/>
      </rPr>
      <t>・既存クライアントにおいて、部門責任者または</t>
    </r>
    <r>
      <rPr>
        <sz val="8"/>
        <color rgb="FF000000"/>
        <rFont val="Meiryo UI"/>
        <family val="2"/>
        <charset val="1"/>
      </rPr>
      <t>CXO</t>
    </r>
    <r>
      <rPr>
        <sz val="8"/>
        <color rgb="FF000000"/>
        <rFont val="Noto Sans CJK SC"/>
        <family val="2"/>
      </rPr>
      <t>レベルとの四半期ごとの戦略対話を主導</t>
    </r>
  </si>
  <si>
    <r>
      <rPr>
        <sz val="8"/>
        <color rgb="FF000000"/>
        <rFont val="Noto Sans CJK SC"/>
        <family val="2"/>
      </rPr>
      <t>・既存顧客及び関連会社へのアプローチをリードし、うち</t>
    </r>
    <r>
      <rPr>
        <sz val="8"/>
        <color rgb="FF000000"/>
        <rFont val="Meiryo UI"/>
        <family val="2"/>
        <charset val="1"/>
      </rPr>
      <t>2</t>
    </r>
    <r>
      <rPr>
        <sz val="8"/>
        <color rgb="FF000000"/>
        <rFont val="Noto Sans CJK SC"/>
        <family val="2"/>
      </rPr>
      <t>社で大型案件を受注</t>
    </r>
  </si>
  <si>
    <r>
      <rPr>
        <sz val="8"/>
        <color rgb="FF000000"/>
        <rFont val="Noto Sans CJK SC"/>
        <family val="2"/>
      </rPr>
      <t>・通信業界の事業戦略立案手法に関する社内トレーニングを年</t>
    </r>
    <r>
      <rPr>
        <sz val="8"/>
        <color rgb="FF000000"/>
        <rFont val="Meiryo UI"/>
        <family val="2"/>
        <charset val="1"/>
      </rPr>
      <t>3</t>
    </r>
    <r>
      <rPr>
        <sz val="8"/>
        <color rgb="FF000000"/>
        <rFont val="Noto Sans CJK SC"/>
        <family val="2"/>
      </rPr>
      <t>回開催</t>
    </r>
  </si>
  <si>
    <r>
      <rPr>
        <sz val="8"/>
        <color rgb="FF000000"/>
        <rFont val="Noto Sans CJK SC"/>
        <family val="2"/>
      </rPr>
      <t>・</t>
    </r>
    <r>
      <rPr>
        <sz val="8"/>
        <color rgb="FF000000"/>
        <rFont val="Meiryo UI"/>
        <family val="2"/>
        <charset val="1"/>
      </rPr>
      <t>Future of Telecom</t>
    </r>
    <r>
      <rPr>
        <sz val="8"/>
        <color rgb="FF000000"/>
        <rFont val="Noto Sans CJK SC"/>
        <family val="2"/>
      </rPr>
      <t>シリーズに類する通信業界の未来デザインに関するホワイトペーパーを年</t>
    </r>
    <r>
      <rPr>
        <sz val="8"/>
        <color rgb="FF000000"/>
        <rFont val="Meiryo UI"/>
        <family val="2"/>
        <charset val="1"/>
      </rPr>
      <t>1</t>
    </r>
    <r>
      <rPr>
        <sz val="8"/>
        <color rgb="FF000000"/>
        <rFont val="Noto Sans CJK SC"/>
        <family val="2"/>
      </rPr>
      <t>本発信</t>
    </r>
  </si>
  <si>
    <r>
      <rPr>
        <sz val="8"/>
        <color rgb="FF000000"/>
        <rFont val="Noto Sans CJK SC"/>
        <family val="2"/>
      </rPr>
      <t>・通信業界向けキャリアセミナーやネットワーキングイベントに</t>
    </r>
    <r>
      <rPr>
        <sz val="8"/>
        <color rgb="FF000000"/>
        <rFont val="Meiryo UI"/>
        <family val="2"/>
        <charset val="1"/>
      </rPr>
      <t>3</t>
    </r>
    <r>
      <rPr>
        <sz val="8"/>
        <color rgb="FF000000"/>
        <rFont val="Noto Sans CJK SC"/>
        <family val="2"/>
      </rPr>
      <t>回以上参画</t>
    </r>
  </si>
  <si>
    <r>
      <rPr>
        <sz val="8"/>
        <color rgb="FF000000"/>
        <rFont val="Noto Sans CJK SC"/>
        <family val="2"/>
      </rPr>
      <t>・法人</t>
    </r>
    <r>
      <rPr>
        <sz val="8"/>
        <color rgb="FF000000"/>
        <rFont val="Meiryo UI"/>
        <family val="2"/>
        <charset val="1"/>
      </rPr>
      <t>DX</t>
    </r>
    <r>
      <rPr>
        <sz val="8"/>
        <color rgb="FF000000"/>
        <rFont val="Noto Sans CJK SC"/>
        <family val="2"/>
      </rPr>
      <t>、</t>
    </r>
    <r>
      <rPr>
        <sz val="8"/>
        <color rgb="FF000000"/>
        <rFont val="Meiryo UI"/>
        <family val="2"/>
        <charset val="1"/>
      </rPr>
      <t>AI</t>
    </r>
    <r>
      <rPr>
        <sz val="8"/>
        <color rgb="FF000000"/>
        <rFont val="Noto Sans CJK SC"/>
        <family val="2"/>
      </rPr>
      <t>、</t>
    </r>
    <r>
      <rPr>
        <sz val="8"/>
        <color rgb="FF000000"/>
        <rFont val="Meiryo UI"/>
        <family val="2"/>
        <charset val="1"/>
      </rPr>
      <t>5G/6G</t>
    </r>
    <r>
      <rPr>
        <sz val="8"/>
        <color rgb="FF000000"/>
        <rFont val="Noto Sans CJK SC"/>
        <family val="2"/>
      </rPr>
      <t>動向、スマートシティ、グローバル事業展開などに関する情報提供セッションを年</t>
    </r>
    <r>
      <rPr>
        <sz val="8"/>
        <color rgb="FF000000"/>
        <rFont val="Meiryo UI"/>
        <family val="2"/>
        <charset val="1"/>
      </rPr>
      <t>6</t>
    </r>
    <r>
      <rPr>
        <sz val="8"/>
        <color rgb="FF000000"/>
        <rFont val="Noto Sans CJK SC"/>
        <family val="2"/>
      </rPr>
      <t>回以上実施</t>
    </r>
  </si>
  <si>
    <r>
      <rPr>
        <sz val="8"/>
        <color rgb="FF000000"/>
        <rFont val="Noto Sans CJK SC"/>
        <family val="2"/>
      </rPr>
      <t>・</t>
    </r>
    <r>
      <rPr>
        <sz val="8"/>
        <color rgb="FF000000"/>
        <rFont val="Meiryo UI"/>
        <family val="2"/>
        <charset val="1"/>
      </rPr>
      <t>Future of Telecom</t>
    </r>
    <r>
      <rPr>
        <sz val="8"/>
        <color rgb="FF000000"/>
        <rFont val="Noto Sans CJK SC"/>
        <family val="2"/>
      </rPr>
      <t>シリーズ等の</t>
    </r>
    <r>
      <rPr>
        <sz val="8"/>
        <color rgb="FF000000"/>
        <rFont val="Meiryo UI"/>
        <family val="2"/>
        <charset val="1"/>
      </rPr>
      <t>Thought Leadership</t>
    </r>
    <r>
      <rPr>
        <sz val="8"/>
        <color rgb="FF000000"/>
        <rFont val="Noto Sans CJK SC"/>
        <family val="2"/>
      </rPr>
      <t>コンテンツを活用した提案活動を実施</t>
    </r>
  </si>
  <si>
    <r>
      <rPr>
        <sz val="8"/>
        <color rgb="FF000000"/>
        <rFont val="Noto Sans CJK SC"/>
        <family val="2"/>
      </rPr>
      <t>・</t>
    </r>
    <r>
      <rPr>
        <sz val="8"/>
        <color rgb="FF000000"/>
        <rFont val="Meiryo UI"/>
        <family val="2"/>
        <charset val="1"/>
      </rPr>
      <t>Practice</t>
    </r>
    <r>
      <rPr>
        <sz val="8"/>
        <color rgb="FF000000"/>
        <rFont val="Noto Sans CJK SC"/>
        <family val="2"/>
      </rPr>
      <t>内メンバーに対する定期的なメンタリングとフィードバックを実施</t>
    </r>
  </si>
  <si>
    <r>
      <rPr>
        <sz val="8"/>
        <color rgb="FF000000"/>
        <rFont val="Noto Sans CJK SC"/>
        <family val="2"/>
      </rPr>
      <t>・業界カンファレンスまたはウェビナーへの登壇を年</t>
    </r>
    <r>
      <rPr>
        <sz val="8"/>
        <color rgb="FF000000"/>
        <rFont val="Meiryo UI"/>
        <family val="2"/>
        <charset val="1"/>
      </rPr>
      <t>2</t>
    </r>
    <r>
      <rPr>
        <sz val="8"/>
        <color rgb="FF000000"/>
        <rFont val="Noto Sans CJK SC"/>
        <family val="2"/>
      </rPr>
      <t>回以上実施し、</t>
    </r>
    <r>
      <rPr>
        <sz val="8"/>
        <color rgb="FF000000"/>
        <rFont val="Meiryo UI"/>
        <family val="2"/>
        <charset val="1"/>
      </rPr>
      <t>Practice Leader</t>
    </r>
    <r>
      <rPr>
        <sz val="8"/>
        <color rgb="FF000000"/>
        <rFont val="Noto Sans CJK SC"/>
        <family val="2"/>
      </rPr>
      <t>としてのプレゼンスを強化</t>
    </r>
  </si>
  <si>
    <t>東條 貴志</t>
  </si>
  <si>
    <t>Technology</t>
  </si>
  <si>
    <t>N/A</t>
  </si>
  <si>
    <t>CTC</t>
  </si>
  <si>
    <r>
      <rPr>
        <sz val="8"/>
        <color rgb="FF000000"/>
        <rFont val="Meiryo UI"/>
        <family val="3"/>
        <charset val="128"/>
      </rPr>
      <t>(</t>
    </r>
    <r>
      <rPr>
        <sz val="8"/>
        <color rgb="FF000000"/>
        <rFont val="Noto Sans CJK SC"/>
        <family val="2"/>
      </rPr>
      <t>小澤さん作成中</t>
    </r>
    <r>
      <rPr>
        <sz val="8"/>
        <color rgb="FF000000"/>
        <rFont val="Meiryo UI"/>
        <family val="3"/>
        <charset val="128"/>
      </rPr>
      <t>)</t>
    </r>
  </si>
  <si>
    <t>Innovation (2027/08-)</t>
  </si>
  <si>
    <r>
      <rPr>
        <sz val="8"/>
        <color rgb="FF000000"/>
        <rFont val="Noto Sans CJK SC"/>
        <family val="2"/>
      </rPr>
      <t>（</t>
    </r>
    <r>
      <rPr>
        <sz val="8"/>
        <color rgb="FF000000"/>
        <rFont val="Meiryo UI"/>
        <family val="2"/>
        <charset val="1"/>
      </rPr>
      <t>1/1</t>
    </r>
    <r>
      <rPr>
        <sz val="8"/>
        <color rgb="FF000000"/>
        <rFont val="Noto Sans CJK SC"/>
        <family val="2"/>
      </rPr>
      <t>より加藤さんに移行）</t>
    </r>
  </si>
  <si>
    <t>加藤 節雄</t>
  </si>
  <si>
    <t>No</t>
  </si>
  <si>
    <t>NEC</t>
  </si>
  <si>
    <r>
      <rPr>
        <sz val="8"/>
        <color rgb="FF000000"/>
        <rFont val="Noto Sans CJK SC"/>
        <family val="2"/>
      </rPr>
      <t>・テクノロジー領域のコンサルタント経験者を年間</t>
    </r>
    <r>
      <rPr>
        <sz val="8"/>
        <color rgb="FF000000"/>
        <rFont val="Meiryo UI"/>
        <family val="2"/>
        <charset val="1"/>
      </rPr>
      <t>7</t>
    </r>
    <r>
      <rPr>
        <sz val="8"/>
        <color rgb="FF000000"/>
        <rFont val="Noto Sans CJK SC"/>
        <family val="2"/>
      </rPr>
      <t>名以上面談し、うち</t>
    </r>
    <r>
      <rPr>
        <sz val="8"/>
        <color rgb="FF000000"/>
        <rFont val="Meiryo UI"/>
        <family val="2"/>
        <charset val="1"/>
      </rPr>
      <t>3</t>
    </r>
    <r>
      <rPr>
        <sz val="8"/>
        <color rgb="FF000000"/>
        <rFont val="Noto Sans CJK SC"/>
        <family val="2"/>
      </rPr>
      <t>名以上の内定承諾に貢献</t>
    </r>
  </si>
  <si>
    <r>
      <rPr>
        <sz val="8"/>
        <color rgb="FF000000"/>
        <rFont val="Noto Sans CJK SC"/>
        <family val="2"/>
      </rPr>
      <t>・新規クライアント含む</t>
    </r>
    <r>
      <rPr>
        <sz val="8"/>
        <color rgb="FF000000"/>
        <rFont val="Meiryo UI"/>
        <family val="2"/>
        <charset val="1"/>
      </rPr>
      <t>3</t>
    </r>
    <r>
      <rPr>
        <sz val="8"/>
        <color rgb="FF000000"/>
        <rFont val="Noto Sans CJK SC"/>
        <family val="2"/>
      </rPr>
      <t>社において、</t>
    </r>
    <r>
      <rPr>
        <sz val="8"/>
        <color rgb="FF000000"/>
        <rFont val="Meiryo UI"/>
        <family val="2"/>
        <charset val="1"/>
      </rPr>
      <t>CIO</t>
    </r>
    <r>
      <rPr>
        <sz val="8"/>
        <color rgb="FF000000"/>
        <rFont val="Noto Sans CJK SC"/>
        <family val="2"/>
      </rPr>
      <t>または</t>
    </r>
    <r>
      <rPr>
        <sz val="8"/>
        <color rgb="FF000000"/>
        <rFont val="Meiryo UI"/>
        <family val="2"/>
        <charset val="1"/>
      </rPr>
      <t>IT</t>
    </r>
    <r>
      <rPr>
        <sz val="8"/>
        <color rgb="FF000000"/>
        <rFont val="Noto Sans CJK SC"/>
        <family val="2"/>
      </rPr>
      <t>戦略責任者との四半期ごとの戦略対話を主導</t>
    </r>
  </si>
  <si>
    <r>
      <rPr>
        <sz val="8"/>
        <color rgb="FF000000"/>
        <rFont val="Noto Sans CJK SC"/>
        <family val="2"/>
      </rPr>
      <t>・</t>
    </r>
    <r>
      <rPr>
        <sz val="8"/>
        <color rgb="FF000000"/>
        <rFont val="Meiryo UI"/>
        <family val="2"/>
        <charset val="1"/>
      </rPr>
      <t>ERP/DX</t>
    </r>
    <r>
      <rPr>
        <sz val="8"/>
        <color rgb="FF000000"/>
        <rFont val="Noto Sans CJK SC"/>
        <family val="2"/>
      </rPr>
      <t>ニーズを持つ新規クライアント</t>
    </r>
    <r>
      <rPr>
        <sz val="8"/>
        <color rgb="FF000000"/>
        <rFont val="Meiryo UI"/>
        <family val="2"/>
        <charset val="1"/>
      </rPr>
      <t>4</t>
    </r>
    <r>
      <rPr>
        <sz val="8"/>
        <color rgb="FF000000"/>
        <rFont val="Noto Sans CJK SC"/>
        <family val="2"/>
      </rPr>
      <t>社へのアプローチをリードし、うち</t>
    </r>
    <r>
      <rPr>
        <sz val="8"/>
        <color rgb="FF000000"/>
        <rFont val="Meiryo UI"/>
        <family val="2"/>
        <charset val="1"/>
      </rPr>
      <t>2</t>
    </r>
    <r>
      <rPr>
        <sz val="8"/>
        <color rgb="FF000000"/>
        <rFont val="Noto Sans CJK SC"/>
        <family val="2"/>
      </rPr>
      <t>社でパイロット案件を受注</t>
    </r>
  </si>
  <si>
    <r>
      <rPr>
        <sz val="8"/>
        <color rgb="FF000000"/>
        <rFont val="Noto Sans CJK SC"/>
        <family val="2"/>
      </rPr>
      <t>・</t>
    </r>
    <r>
      <rPr>
        <sz val="8"/>
        <color rgb="FF000000"/>
        <rFont val="Meiryo UI"/>
        <family val="2"/>
        <charset val="1"/>
      </rPr>
      <t>ERP</t>
    </r>
    <r>
      <rPr>
        <sz val="8"/>
        <color rgb="FF000000"/>
        <rFont val="Noto Sans CJK SC"/>
        <family val="2"/>
      </rPr>
      <t>導入手法または生成</t>
    </r>
    <r>
      <rPr>
        <sz val="8"/>
        <color rgb="FF000000"/>
        <rFont val="Meiryo UI"/>
        <family val="2"/>
        <charset val="1"/>
      </rPr>
      <t>AI</t>
    </r>
    <r>
      <rPr>
        <sz val="8"/>
        <color rgb="FF000000"/>
        <rFont val="Noto Sans CJK SC"/>
        <family val="2"/>
      </rPr>
      <t>活用に関する社内トレーニングを年</t>
    </r>
    <r>
      <rPr>
        <sz val="8"/>
        <color rgb="FF000000"/>
        <rFont val="Meiryo UI"/>
        <family val="2"/>
        <charset val="1"/>
      </rPr>
      <t>3</t>
    </r>
    <r>
      <rPr>
        <sz val="8"/>
        <color rgb="FF000000"/>
        <rFont val="Noto Sans CJK SC"/>
        <family val="2"/>
      </rPr>
      <t>回開催</t>
    </r>
  </si>
  <si>
    <r>
      <rPr>
        <sz val="8"/>
        <color rgb="FF000000"/>
        <rFont val="Noto Sans CJK SC"/>
        <family val="2"/>
      </rPr>
      <t>・</t>
    </r>
    <r>
      <rPr>
        <sz val="8"/>
        <color rgb="FF000000"/>
        <rFont val="Meiryo UI"/>
        <family val="2"/>
        <charset val="1"/>
      </rPr>
      <t>DX</t>
    </r>
    <r>
      <rPr>
        <sz val="8"/>
        <color rgb="FF000000"/>
        <rFont val="Noto Sans CJK SC"/>
        <family val="2"/>
      </rPr>
      <t>または</t>
    </r>
    <r>
      <rPr>
        <sz val="8"/>
        <color rgb="FF000000"/>
        <rFont val="Meiryo UI"/>
        <family val="2"/>
        <charset val="1"/>
      </rPr>
      <t>ERP</t>
    </r>
    <r>
      <rPr>
        <sz val="8"/>
        <color rgb="FF000000"/>
        <rFont val="Noto Sans CJK SC"/>
        <family val="2"/>
      </rPr>
      <t>導入に関するホワイトペーパーを年</t>
    </r>
    <r>
      <rPr>
        <sz val="8"/>
        <color rgb="FF000000"/>
        <rFont val="Meiryo UI"/>
        <family val="2"/>
        <charset val="1"/>
      </rPr>
      <t>2</t>
    </r>
    <r>
      <rPr>
        <sz val="8"/>
        <color rgb="FF000000"/>
        <rFont val="Noto Sans CJK SC"/>
        <family val="2"/>
      </rPr>
      <t>本発信</t>
    </r>
  </si>
  <si>
    <r>
      <rPr>
        <sz val="8"/>
        <color rgb="FF000000"/>
        <rFont val="Noto Sans CJK SC"/>
        <family val="2"/>
      </rPr>
      <t>・</t>
    </r>
    <r>
      <rPr>
        <sz val="8"/>
        <color rgb="FF000000"/>
        <rFont val="Meiryo UI"/>
        <family val="2"/>
        <charset val="1"/>
      </rPr>
      <t>ERP/DX</t>
    </r>
    <r>
      <rPr>
        <sz val="8"/>
        <color rgb="FF000000"/>
        <rFont val="Noto Sans CJK SC"/>
        <family val="2"/>
      </rPr>
      <t>関連のセミナーまたは採用イベントに</t>
    </r>
    <r>
      <rPr>
        <sz val="8"/>
        <color rgb="FF000000"/>
        <rFont val="Meiryo UI"/>
        <family val="2"/>
        <charset val="1"/>
      </rPr>
      <t>2</t>
    </r>
    <r>
      <rPr>
        <sz val="8"/>
        <color rgb="FF000000"/>
        <rFont val="Noto Sans CJK SC"/>
        <family val="2"/>
      </rPr>
      <t>回以上参画</t>
    </r>
  </si>
  <si>
    <r>
      <rPr>
        <sz val="8"/>
        <color rgb="FF000000"/>
        <rFont val="Noto Sans CJK SC"/>
        <family val="2"/>
      </rPr>
      <t>・</t>
    </r>
    <r>
      <rPr>
        <sz val="8"/>
        <color rgb="FF000000"/>
        <rFont val="Meiryo UI"/>
        <family val="2"/>
        <charset val="1"/>
      </rPr>
      <t>ERP</t>
    </r>
    <r>
      <rPr>
        <sz val="8"/>
        <color rgb="FF000000"/>
        <rFont val="Noto Sans CJK SC"/>
        <family val="2"/>
      </rPr>
      <t>導入や生成</t>
    </r>
    <r>
      <rPr>
        <sz val="8"/>
        <color rgb="FF000000"/>
        <rFont val="Meiryo UI"/>
        <family val="2"/>
        <charset val="1"/>
      </rPr>
      <t>AI</t>
    </r>
    <r>
      <rPr>
        <sz val="8"/>
        <color rgb="FF000000"/>
        <rFont val="Noto Sans CJK SC"/>
        <family val="2"/>
      </rPr>
      <t>活用に関する情報提供セッションを年</t>
    </r>
    <r>
      <rPr>
        <sz val="8"/>
        <color rgb="FF000000"/>
        <rFont val="Meiryo UI"/>
        <family val="2"/>
        <charset val="1"/>
      </rPr>
      <t>6</t>
    </r>
    <r>
      <rPr>
        <sz val="8"/>
        <color rgb="FF000000"/>
        <rFont val="Noto Sans CJK SC"/>
        <family val="2"/>
      </rPr>
      <t>回以上実施</t>
    </r>
  </si>
  <si>
    <r>
      <rPr>
        <sz val="8"/>
        <color rgb="FF000000"/>
        <rFont val="Noto Sans CJK SC"/>
        <family val="2"/>
      </rPr>
      <t>・生成</t>
    </r>
    <r>
      <rPr>
        <sz val="8"/>
        <color rgb="FF000000"/>
        <rFont val="Meiryo UI"/>
        <family val="2"/>
        <charset val="1"/>
      </rPr>
      <t>AI</t>
    </r>
    <r>
      <rPr>
        <sz val="8"/>
        <color rgb="FF000000"/>
        <rFont val="Noto Sans CJK SC"/>
        <family val="2"/>
      </rPr>
      <t>活用事例やシステム統合実績を活用した提案活動を実施</t>
    </r>
  </si>
  <si>
    <r>
      <rPr>
        <sz val="8"/>
        <color rgb="FF000000"/>
        <rFont val="Noto Sans CJK SC"/>
        <family val="2"/>
      </rPr>
      <t>・大規模</t>
    </r>
    <r>
      <rPr>
        <sz val="8"/>
        <color rgb="FF000000"/>
        <rFont val="Meiryo UI"/>
        <family val="2"/>
        <charset val="1"/>
      </rPr>
      <t>PMO</t>
    </r>
    <r>
      <rPr>
        <sz val="8"/>
        <color rgb="FF000000"/>
        <rFont val="Noto Sans CJK SC"/>
        <family val="2"/>
      </rPr>
      <t>プロジェクトにおいて</t>
    </r>
    <r>
      <rPr>
        <sz val="8"/>
        <color rgb="FF000000"/>
        <rFont val="Meiryo UI"/>
        <family val="2"/>
        <charset val="1"/>
      </rPr>
      <t>3</t>
    </r>
    <r>
      <rPr>
        <sz val="8"/>
        <color rgb="FF000000"/>
        <rFont val="Noto Sans CJK SC"/>
        <family val="2"/>
      </rPr>
      <t>名以上のメンバーへの実務指導を実施</t>
    </r>
  </si>
  <si>
    <r>
      <rPr>
        <sz val="8"/>
        <color rgb="FF000000"/>
        <rFont val="Noto Sans CJK SC"/>
        <family val="2"/>
      </rPr>
      <t>・</t>
    </r>
    <r>
      <rPr>
        <sz val="8"/>
        <color rgb="FF000000"/>
        <rFont val="Meiryo UI"/>
        <family val="2"/>
        <charset val="1"/>
      </rPr>
      <t>IT</t>
    </r>
    <r>
      <rPr>
        <sz val="8"/>
        <color rgb="FF000000"/>
        <rFont val="Noto Sans CJK SC"/>
        <family val="2"/>
      </rPr>
      <t>カンファレンスまたは経営層向け</t>
    </r>
    <r>
      <rPr>
        <sz val="8"/>
        <color rgb="FF000000"/>
        <rFont val="Meiryo UI"/>
        <family val="2"/>
        <charset val="1"/>
      </rPr>
      <t>DX</t>
    </r>
    <r>
      <rPr>
        <sz val="8"/>
        <color rgb="FF000000"/>
        <rFont val="Noto Sans CJK SC"/>
        <family val="2"/>
      </rPr>
      <t>フォーラムへの登壇を年</t>
    </r>
    <r>
      <rPr>
        <sz val="8"/>
        <color rgb="FF000000"/>
        <rFont val="Meiryo UI"/>
        <family val="2"/>
        <charset val="1"/>
      </rPr>
      <t>1</t>
    </r>
    <r>
      <rPr>
        <sz val="8"/>
        <color rgb="FF000000"/>
        <rFont val="Noto Sans CJK SC"/>
        <family val="2"/>
      </rPr>
      <t>回以上実施</t>
    </r>
  </si>
  <si>
    <t>福島 毅</t>
  </si>
  <si>
    <t>D</t>
  </si>
  <si>
    <r>
      <rPr>
        <sz val="8"/>
        <color rgb="FF000000"/>
        <rFont val="Noto Sans CJK SC"/>
        <family val="2"/>
      </rPr>
      <t>・</t>
    </r>
    <r>
      <rPr>
        <sz val="8"/>
        <color rgb="FF000000"/>
        <rFont val="Meiryo UI"/>
        <family val="2"/>
        <charset val="1"/>
      </rPr>
      <t>DX/</t>
    </r>
    <r>
      <rPr>
        <sz val="8"/>
        <color rgb="FF000000"/>
        <rFont val="Noto Sans CJK SC"/>
        <family val="2"/>
      </rPr>
      <t>業務改革領域の経験者（</t>
    </r>
    <r>
      <rPr>
        <sz val="8"/>
        <color rgb="FF000000"/>
        <rFont val="Meiryo UI"/>
        <family val="2"/>
        <charset val="1"/>
      </rPr>
      <t>PMO</t>
    </r>
    <r>
      <rPr>
        <sz val="8"/>
        <color rgb="FF000000"/>
        <rFont val="Noto Sans CJK SC"/>
        <family val="2"/>
      </rPr>
      <t>、</t>
    </r>
    <r>
      <rPr>
        <sz val="8"/>
        <color rgb="FF000000"/>
        <rFont val="Meiryo UI"/>
        <family val="2"/>
        <charset val="1"/>
      </rPr>
      <t>BPR</t>
    </r>
    <r>
      <rPr>
        <sz val="8"/>
        <color rgb="FF000000"/>
        <rFont val="Noto Sans CJK SC"/>
        <family val="2"/>
      </rPr>
      <t>スペシャリスト等）を年間</t>
    </r>
    <r>
      <rPr>
        <sz val="8"/>
        <color rgb="FF000000"/>
        <rFont val="Meiryo UI"/>
        <family val="2"/>
        <charset val="1"/>
      </rPr>
      <t>5</t>
    </r>
    <r>
      <rPr>
        <sz val="8"/>
        <color rgb="FF000000"/>
        <rFont val="Noto Sans CJK SC"/>
        <family val="2"/>
      </rPr>
      <t>名以上面談し、うち</t>
    </r>
    <r>
      <rPr>
        <sz val="8"/>
        <color rgb="FF000000"/>
        <rFont val="Meiryo UI"/>
        <family val="2"/>
        <charset val="1"/>
      </rPr>
      <t>2</t>
    </r>
    <r>
      <rPr>
        <sz val="8"/>
        <color rgb="FF000000"/>
        <rFont val="Noto Sans CJK SC"/>
        <family val="2"/>
      </rPr>
      <t>名以上の内定承諾に貢献</t>
    </r>
  </si>
  <si>
    <r>
      <rPr>
        <sz val="8"/>
        <color rgb="FF000000"/>
        <rFont val="Noto Sans CJK SC"/>
        <family val="2"/>
      </rPr>
      <t>・ターゲットアカウントにおいて、</t>
    </r>
    <r>
      <rPr>
        <sz val="8"/>
        <color rgb="FF000000"/>
        <rFont val="Meiryo UI"/>
        <family val="2"/>
        <charset val="1"/>
      </rPr>
      <t>CIO</t>
    </r>
    <r>
      <rPr>
        <sz val="8"/>
        <color rgb="FF000000"/>
        <rFont val="Noto Sans CJK SC"/>
        <family val="2"/>
      </rPr>
      <t>または</t>
    </r>
    <r>
      <rPr>
        <sz val="8"/>
        <color rgb="FF000000"/>
        <rFont val="Meiryo UI"/>
        <family val="2"/>
        <charset val="1"/>
      </rPr>
      <t>CDO</t>
    </r>
    <r>
      <rPr>
        <sz val="8"/>
        <color rgb="FF000000"/>
        <rFont val="Noto Sans CJK SC"/>
        <family val="2"/>
      </rPr>
      <t>レベルとの定期的な関係構築を推進</t>
    </r>
  </si>
  <si>
    <r>
      <rPr>
        <sz val="8"/>
        <color rgb="FF000000"/>
        <rFont val="Noto Sans CJK SC"/>
        <family val="2"/>
      </rPr>
      <t>・大規模プログラム推進や業務改革ニーズを持つ新規クライアント</t>
    </r>
    <r>
      <rPr>
        <sz val="8"/>
        <color rgb="FF000000"/>
        <rFont val="Meiryo UI"/>
        <family val="2"/>
        <charset val="1"/>
      </rPr>
      <t>3</t>
    </r>
    <r>
      <rPr>
        <sz val="8"/>
        <color rgb="FF000000"/>
        <rFont val="Noto Sans CJK SC"/>
        <family val="2"/>
      </rPr>
      <t>社へアプローチし、うち</t>
    </r>
    <r>
      <rPr>
        <sz val="8"/>
        <color rgb="FF000000"/>
        <rFont val="Meiryo UI"/>
        <family val="2"/>
        <charset val="1"/>
      </rPr>
      <t>1</t>
    </r>
    <r>
      <rPr>
        <sz val="8"/>
        <color rgb="FF000000"/>
        <rFont val="Noto Sans CJK SC"/>
        <family val="2"/>
      </rPr>
      <t>社でパイロット案件を受注</t>
    </r>
  </si>
  <si>
    <r>
      <rPr>
        <sz val="8"/>
        <color rgb="FF000000"/>
        <rFont val="Noto Sans CJK SC"/>
        <family val="2"/>
      </rPr>
      <t>・大規模プログラム推進手法に関する社内トレーニングを年</t>
    </r>
    <r>
      <rPr>
        <sz val="8"/>
        <color rgb="FF000000"/>
        <rFont val="Meiryo UI"/>
        <family val="2"/>
        <charset val="1"/>
      </rPr>
      <t>1</t>
    </r>
    <r>
      <rPr>
        <sz val="8"/>
        <color rgb="FF000000"/>
        <rFont val="Noto Sans CJK SC"/>
        <family val="2"/>
      </rPr>
      <t>回開催し、</t>
    </r>
    <r>
      <rPr>
        <sz val="8"/>
        <color rgb="FF000000"/>
        <rFont val="Meiryo UI"/>
        <family val="2"/>
        <charset val="1"/>
      </rPr>
      <t>PM</t>
    </r>
    <r>
      <rPr>
        <sz val="8"/>
        <color rgb="FF000000"/>
        <rFont val="Noto Sans CJK SC"/>
        <family val="2"/>
      </rPr>
      <t>・</t>
    </r>
    <r>
      <rPr>
        <sz val="8"/>
        <color rgb="FF000000"/>
        <rFont val="Meiryo UI"/>
        <family val="2"/>
        <charset val="1"/>
      </rPr>
      <t>PMO</t>
    </r>
    <r>
      <rPr>
        <sz val="8"/>
        <color rgb="FF000000"/>
        <rFont val="Noto Sans CJK SC"/>
        <family val="2"/>
      </rPr>
      <t>スキルの底上げを図る</t>
    </r>
  </si>
  <si>
    <r>
      <rPr>
        <sz val="8"/>
        <color rgb="FF000000"/>
        <rFont val="Noto Sans CJK SC"/>
        <family val="2"/>
      </rPr>
      <t>・</t>
    </r>
    <r>
      <rPr>
        <sz val="8"/>
        <color rgb="FF000000"/>
        <rFont val="Meiryo UI"/>
        <family val="2"/>
        <charset val="1"/>
      </rPr>
      <t>DX</t>
    </r>
    <r>
      <rPr>
        <sz val="8"/>
        <color rgb="FF000000"/>
        <rFont val="Noto Sans CJK SC"/>
        <family val="2"/>
      </rPr>
      <t>推進やプログラムマネジメントに関するホワイトペーパーを年</t>
    </r>
    <r>
      <rPr>
        <sz val="8"/>
        <color rgb="FF000000"/>
        <rFont val="Meiryo UI"/>
        <family val="2"/>
        <charset val="1"/>
      </rPr>
      <t>1</t>
    </r>
    <r>
      <rPr>
        <sz val="8"/>
        <color rgb="FF000000"/>
        <rFont val="Noto Sans CJK SC"/>
        <family val="2"/>
      </rPr>
      <t>本発信</t>
    </r>
  </si>
  <si>
    <r>
      <rPr>
        <sz val="8"/>
        <color rgb="FF000000"/>
        <rFont val="Noto Sans CJK SC"/>
        <family val="2"/>
      </rPr>
      <t>・</t>
    </r>
    <r>
      <rPr>
        <sz val="8"/>
        <color rgb="FF000000"/>
        <rFont val="Meiryo UI"/>
        <family val="2"/>
        <charset val="1"/>
      </rPr>
      <t>DX</t>
    </r>
    <r>
      <rPr>
        <sz val="8"/>
        <color rgb="FF000000"/>
        <rFont val="Noto Sans CJK SC"/>
        <family val="2"/>
      </rPr>
      <t>推進課題に関する戦略セッションを各社四半期ごとに実施し、継続的な信頼関係を強化</t>
    </r>
  </si>
  <si>
    <r>
      <rPr>
        <sz val="8"/>
        <color rgb="FF000000"/>
        <rFont val="Noto Sans CJK SC"/>
        <family val="2"/>
      </rPr>
      <t>・</t>
    </r>
    <r>
      <rPr>
        <sz val="8"/>
        <color rgb="FF000000"/>
        <rFont val="Meiryo UI"/>
        <family val="2"/>
        <charset val="1"/>
      </rPr>
      <t>DX</t>
    </r>
    <r>
      <rPr>
        <sz val="8"/>
        <color rgb="FF000000"/>
        <rFont val="Noto Sans CJK SC"/>
        <family val="2"/>
      </rPr>
      <t>事例やベストプラクティスを活用した提案活動を月次で実施</t>
    </r>
  </si>
  <si>
    <r>
      <rPr>
        <sz val="8"/>
        <color rgb="FF000000"/>
        <rFont val="Noto Sans CJK SC"/>
        <family val="2"/>
      </rPr>
      <t>・プロジェクトにおいて</t>
    </r>
    <r>
      <rPr>
        <sz val="8"/>
        <color rgb="FF000000"/>
        <rFont val="Meiryo UI"/>
        <family val="2"/>
        <charset val="1"/>
      </rPr>
      <t>3</t>
    </r>
    <r>
      <rPr>
        <sz val="8"/>
        <color rgb="FF000000"/>
        <rFont val="Noto Sans CJK SC"/>
        <family val="2"/>
      </rPr>
      <t>名以上のメンバーへの</t>
    </r>
    <r>
      <rPr>
        <sz val="8"/>
        <color rgb="FF000000"/>
        <rFont val="Meiryo UI"/>
        <family val="2"/>
        <charset val="1"/>
      </rPr>
      <t>OJT</t>
    </r>
    <r>
      <rPr>
        <sz val="8"/>
        <color rgb="FF000000"/>
        <rFont val="Noto Sans CJK SC"/>
        <family val="2"/>
      </rPr>
      <t>指導を実施し、プログラムマネジメント能力を育成</t>
    </r>
  </si>
  <si>
    <r>
      <rPr>
        <sz val="8"/>
        <color rgb="FF000000"/>
        <rFont val="Noto Sans CJK SC"/>
        <family val="2"/>
      </rPr>
      <t>・業界カンファレンスまたはウェビナーへの登壇を年</t>
    </r>
    <r>
      <rPr>
        <sz val="8"/>
        <color rgb="FF000000"/>
        <rFont val="Meiryo UI"/>
        <family val="2"/>
        <charset val="1"/>
      </rPr>
      <t>1</t>
    </r>
    <r>
      <rPr>
        <sz val="8"/>
        <color rgb="FF000000"/>
        <rFont val="Noto Sans CJK SC"/>
        <family val="2"/>
      </rPr>
      <t>回以上実施</t>
    </r>
  </si>
  <si>
    <t>藤川 真一</t>
  </si>
  <si>
    <t>パナソニック</t>
  </si>
  <si>
    <r>
      <rPr>
        <sz val="8"/>
        <color rgb="FF000000"/>
        <rFont val="Meiryo UI"/>
        <family val="3"/>
        <charset val="128"/>
      </rPr>
      <t>(</t>
    </r>
    <r>
      <rPr>
        <sz val="8"/>
        <color rgb="FF000000"/>
        <rFont val="Noto Sans CJK SC"/>
        <family val="2"/>
      </rPr>
      <t>作成予定</t>
    </r>
    <r>
      <rPr>
        <sz val="8"/>
        <color rgb="FF000000"/>
        <rFont val="Meiryo UI"/>
        <family val="3"/>
        <charset val="128"/>
      </rPr>
      <t>)</t>
    </r>
  </si>
  <si>
    <t>藤澤 賢成</t>
  </si>
  <si>
    <t>Finanace Service</t>
  </si>
  <si>
    <r>
      <rPr>
        <sz val="8"/>
        <color rgb="FF000000"/>
        <rFont val="Noto Sans CJK SC"/>
        <family val="2"/>
      </rPr>
      <t>野村</t>
    </r>
    <r>
      <rPr>
        <sz val="8"/>
        <color rgb="FF000000"/>
        <rFont val="Meiryo UI"/>
        <family val="2"/>
        <charset val="1"/>
      </rPr>
      <t>HD</t>
    </r>
    <r>
      <rPr>
        <sz val="8"/>
        <color rgb="FF000000"/>
        <rFont val="Noto Sans CJK SC"/>
        <family val="2"/>
      </rPr>
      <t>・</t>
    </r>
    <r>
      <rPr>
        <sz val="8"/>
        <color rgb="FF000000"/>
        <rFont val="Meiryo UI"/>
        <family val="2"/>
        <charset val="1"/>
      </rPr>
      <t>MUFG</t>
    </r>
  </si>
  <si>
    <r>
      <rPr>
        <sz val="8"/>
        <color rgb="FF000000"/>
        <rFont val="Noto Sans CJK SC"/>
        <family val="2"/>
      </rPr>
      <t>・金融領域の専門人材を年間</t>
    </r>
    <r>
      <rPr>
        <sz val="8"/>
        <color rgb="FF000000"/>
        <rFont val="Meiryo UI"/>
        <family val="2"/>
        <charset val="1"/>
      </rPr>
      <t>5</t>
    </r>
    <r>
      <rPr>
        <sz val="8"/>
        <color rgb="FF000000"/>
        <rFont val="Noto Sans CJK SC"/>
        <family val="2"/>
      </rPr>
      <t>名以上面談し、うち</t>
    </r>
    <r>
      <rPr>
        <sz val="8"/>
        <color rgb="FF000000"/>
        <rFont val="Meiryo UI"/>
        <family val="2"/>
        <charset val="1"/>
      </rPr>
      <t>2</t>
    </r>
    <r>
      <rPr>
        <sz val="8"/>
        <color rgb="FF000000"/>
        <rFont val="Noto Sans CJK SC"/>
        <family val="2"/>
      </rPr>
      <t>名以上の内定承諾に貢献</t>
    </r>
  </si>
  <si>
    <r>
      <rPr>
        <sz val="8"/>
        <color rgb="FF000000"/>
        <rFont val="Noto Sans CJK SC"/>
        <family val="2"/>
      </rPr>
      <t>・ターゲットアカウントにおいて、</t>
    </r>
    <r>
      <rPr>
        <sz val="8"/>
        <color rgb="FF000000"/>
        <rFont val="Meiryo UI"/>
        <family val="2"/>
        <charset val="1"/>
      </rPr>
      <t>CRO</t>
    </r>
    <r>
      <rPr>
        <sz val="8"/>
        <color rgb="FF000000"/>
        <rFont val="Noto Sans CJK SC"/>
        <family val="2"/>
      </rPr>
      <t>または</t>
    </r>
    <r>
      <rPr>
        <sz val="8"/>
        <color rgb="FF000000"/>
        <rFont val="Meiryo UI"/>
        <family val="2"/>
        <charset val="1"/>
      </rPr>
      <t>CCO</t>
    </r>
    <r>
      <rPr>
        <sz val="8"/>
        <color rgb="FF000000"/>
        <rFont val="Noto Sans CJK SC"/>
        <family val="2"/>
      </rPr>
      <t>レベルとの四半期ごとの戦略ディスカッションを主導</t>
    </r>
  </si>
  <si>
    <r>
      <rPr>
        <sz val="8"/>
        <color rgb="FF000000"/>
        <rFont val="Noto Sans CJK SC"/>
        <family val="2"/>
      </rPr>
      <t>・</t>
    </r>
    <r>
      <rPr>
        <sz val="8"/>
        <color rgb="FF000000"/>
        <rFont val="Meiryo UI"/>
        <family val="2"/>
        <charset val="1"/>
      </rPr>
      <t>Basel</t>
    </r>
    <r>
      <rPr>
        <sz val="8"/>
        <color rgb="FF000000"/>
        <rFont val="Noto Sans CJK SC"/>
        <family val="2"/>
      </rPr>
      <t>規制対応や</t>
    </r>
    <r>
      <rPr>
        <sz val="8"/>
        <color rgb="FF000000"/>
        <rFont val="Meiryo UI"/>
        <family val="2"/>
        <charset val="1"/>
      </rPr>
      <t>AML/CFT</t>
    </r>
    <r>
      <rPr>
        <sz val="8"/>
        <color rgb="FF000000"/>
        <rFont val="Noto Sans CJK SC"/>
        <family val="2"/>
      </rPr>
      <t>高度化ニーズを持つ新規金融機関</t>
    </r>
    <r>
      <rPr>
        <sz val="8"/>
        <color rgb="FF000000"/>
        <rFont val="Meiryo UI"/>
        <family val="2"/>
        <charset val="1"/>
      </rPr>
      <t>2</t>
    </r>
    <r>
      <rPr>
        <sz val="8"/>
        <color rgb="FF000000"/>
        <rFont val="Noto Sans CJK SC"/>
        <family val="2"/>
      </rPr>
      <t>社へのアプローチをリードし、</t>
    </r>
    <r>
      <rPr>
        <sz val="8"/>
        <color rgb="FF000000"/>
        <rFont val="Meiryo UI"/>
        <family val="2"/>
        <charset val="1"/>
      </rPr>
      <t>1</t>
    </r>
    <r>
      <rPr>
        <sz val="8"/>
        <color rgb="FF000000"/>
        <rFont val="Noto Sans CJK SC"/>
        <family val="2"/>
      </rPr>
      <t>件以上のパイロット案件を受注</t>
    </r>
  </si>
  <si>
    <r>
      <rPr>
        <sz val="8"/>
        <color rgb="FF000000"/>
        <rFont val="Noto Sans CJK SC"/>
        <family val="2"/>
      </rPr>
      <t>・金融規制・リスク管理に関する社内勉強会を年</t>
    </r>
    <r>
      <rPr>
        <sz val="8"/>
        <color rgb="FF000000"/>
        <rFont val="Meiryo UI"/>
        <family val="2"/>
        <charset val="1"/>
      </rPr>
      <t>1</t>
    </r>
    <r>
      <rPr>
        <sz val="8"/>
        <color rgb="FF000000"/>
        <rFont val="Noto Sans CJK SC"/>
        <family val="2"/>
      </rPr>
      <t>回以上開催し、ジュニアコンサルタントの専門性向上を支援</t>
    </r>
  </si>
  <si>
    <r>
      <rPr>
        <sz val="8"/>
        <color rgb="FF000000"/>
        <rFont val="Noto Sans CJK SC"/>
        <family val="2"/>
      </rPr>
      <t>・</t>
    </r>
    <r>
      <rPr>
        <sz val="8"/>
        <color rgb="FF000000"/>
        <rFont val="Meiryo UI"/>
        <family val="2"/>
        <charset val="1"/>
      </rPr>
      <t>Basel</t>
    </r>
    <r>
      <rPr>
        <sz val="8"/>
        <color rgb="FF000000"/>
        <rFont val="Noto Sans CJK SC"/>
        <family val="2"/>
      </rPr>
      <t>規制や</t>
    </r>
    <r>
      <rPr>
        <sz val="8"/>
        <color rgb="FF000000"/>
        <rFont val="Meiryo UI"/>
        <family val="2"/>
        <charset val="1"/>
      </rPr>
      <t>AML</t>
    </r>
    <r>
      <rPr>
        <sz val="8"/>
        <color rgb="FF000000"/>
        <rFont val="Noto Sans CJK SC"/>
        <family val="2"/>
      </rPr>
      <t>高度化に関するホワイトペーパーまたは業界誌への寄稿を年</t>
    </r>
    <r>
      <rPr>
        <sz val="8"/>
        <color rgb="FF000000"/>
        <rFont val="Meiryo UI"/>
        <family val="2"/>
        <charset val="1"/>
      </rPr>
      <t>1</t>
    </r>
    <r>
      <rPr>
        <sz val="8"/>
        <color rgb="FF000000"/>
        <rFont val="Noto Sans CJK SC"/>
        <family val="2"/>
      </rPr>
      <t>本発信（上期</t>
    </r>
    <r>
      <rPr>
        <sz val="8"/>
        <color rgb="FF000000"/>
        <rFont val="Meiryo UI"/>
        <family val="2"/>
        <charset val="1"/>
      </rPr>
      <t>1</t>
    </r>
    <r>
      <rPr>
        <sz val="8"/>
        <color rgb="FF000000"/>
        <rFont val="Noto Sans CJK SC"/>
        <family val="2"/>
      </rPr>
      <t>本、下期</t>
    </r>
    <r>
      <rPr>
        <sz val="8"/>
        <color rgb="FF000000"/>
        <rFont val="Meiryo UI"/>
        <family val="2"/>
        <charset val="1"/>
      </rPr>
      <t>1</t>
    </r>
    <r>
      <rPr>
        <sz val="8"/>
        <color rgb="FF000000"/>
        <rFont val="Noto Sans CJK SC"/>
        <family val="2"/>
      </rPr>
      <t>本）</t>
    </r>
  </si>
  <si>
    <r>
      <rPr>
        <sz val="8"/>
        <color rgb="FF000000"/>
        <rFont val="Noto Sans CJK SC"/>
        <family val="2"/>
      </rPr>
      <t>・金融規制動向やリスク管理高度化に関する情報提供セッションを年</t>
    </r>
    <r>
      <rPr>
        <sz val="8"/>
        <color rgb="FF000000"/>
        <rFont val="Meiryo UI"/>
        <family val="2"/>
        <charset val="1"/>
      </rPr>
      <t>3</t>
    </r>
    <r>
      <rPr>
        <sz val="8"/>
        <color rgb="FF000000"/>
        <rFont val="Noto Sans CJK SC"/>
        <family val="2"/>
      </rPr>
      <t>回以上実施</t>
    </r>
  </si>
  <si>
    <t>・金融当局動向レポートを活用した提案機会創出を四半期ごとに実施</t>
  </si>
  <si>
    <r>
      <rPr>
        <sz val="8"/>
        <color rgb="FF000000"/>
        <rFont val="Noto Sans CJK SC"/>
        <family val="2"/>
      </rPr>
      <t>・プロジェクトにおいて</t>
    </r>
    <r>
      <rPr>
        <sz val="8"/>
        <color rgb="FF000000"/>
        <rFont val="Meiryo UI"/>
        <family val="2"/>
        <charset val="1"/>
      </rPr>
      <t>2</t>
    </r>
    <r>
      <rPr>
        <sz val="8"/>
        <color rgb="FF000000"/>
        <rFont val="Noto Sans CJK SC"/>
        <family val="2"/>
      </rPr>
      <t>名以上のメンバーへの</t>
    </r>
    <r>
      <rPr>
        <sz val="8"/>
        <color rgb="FF000000"/>
        <rFont val="Meiryo UI"/>
        <family val="2"/>
        <charset val="1"/>
      </rPr>
      <t>OJT</t>
    </r>
    <r>
      <rPr>
        <sz val="8"/>
        <color rgb="FF000000"/>
        <rFont val="Noto Sans CJK SC"/>
        <family val="2"/>
      </rPr>
      <t>・メンタリングを実施し、金融規制対応スキルを伝達</t>
    </r>
  </si>
  <si>
    <r>
      <rPr>
        <sz val="8"/>
        <color rgb="FF000000"/>
        <rFont val="Noto Sans CJK SC"/>
        <family val="2"/>
      </rPr>
      <t>・金融規制セミナーへの登壇を年</t>
    </r>
    <r>
      <rPr>
        <sz val="8"/>
        <color rgb="FF000000"/>
        <rFont val="Meiryo UI"/>
        <family val="2"/>
        <charset val="1"/>
      </rPr>
      <t>1</t>
    </r>
    <r>
      <rPr>
        <sz val="8"/>
        <color rgb="FF000000"/>
        <rFont val="Noto Sans CJK SC"/>
        <family val="2"/>
      </rPr>
      <t>回以上実施し、ファームの専門性を対外発信</t>
    </r>
  </si>
  <si>
    <t>深谷 匡隆</t>
  </si>
  <si>
    <r>
      <rPr>
        <sz val="8"/>
        <color rgb="FF000000"/>
        <rFont val="Meiryo UI"/>
        <family val="3"/>
        <charset val="128"/>
      </rPr>
      <t>Consumer</t>
    </r>
    <r>
      <rPr>
        <sz val="8"/>
        <color rgb="FF000000"/>
        <rFont val="Noto Sans CJK SC"/>
        <family val="2"/>
      </rPr>
      <t>＆</t>
    </r>
    <r>
      <rPr>
        <sz val="8"/>
        <color rgb="FF000000"/>
        <rFont val="Meiryo UI"/>
        <family val="3"/>
        <charset val="128"/>
      </rPr>
      <t>Retail(2025/11</t>
    </r>
    <r>
      <rPr>
        <sz val="8"/>
        <color rgb="FF000000"/>
        <rFont val="Noto Sans CJK SC"/>
        <family val="2"/>
      </rPr>
      <t>末まで</t>
    </r>
    <r>
      <rPr>
        <sz val="8"/>
        <color rgb="FF000000"/>
        <rFont val="Meiryo UI"/>
        <family val="3"/>
        <charset val="128"/>
      </rPr>
      <t>)</t>
    </r>
  </si>
  <si>
    <r>
      <rPr>
        <sz val="8"/>
        <color rgb="FF000000"/>
        <rFont val="Meiryo UI"/>
        <family val="3"/>
        <charset val="128"/>
      </rPr>
      <t>ANA</t>
    </r>
    <r>
      <rPr>
        <sz val="8"/>
        <color rgb="FF000000"/>
        <rFont val="Noto Sans CJK SC"/>
        <family val="2"/>
      </rPr>
      <t>・</t>
    </r>
    <r>
      <rPr>
        <sz val="8"/>
        <color rgb="FF000000"/>
        <rFont val="Meiryo UI"/>
        <family val="3"/>
        <charset val="128"/>
      </rPr>
      <t>JAL</t>
    </r>
  </si>
  <si>
    <r>
      <rPr>
        <sz val="8"/>
        <color rgb="FF000000"/>
        <rFont val="Noto Sans CJK SC"/>
        <family val="2"/>
      </rPr>
      <t>・運輸業界に専門性のある戦略コンサルタント経験者を年間</t>
    </r>
    <r>
      <rPr>
        <sz val="8"/>
        <color rgb="FF000000"/>
        <rFont val="Meiryo UI"/>
        <family val="2"/>
        <charset val="1"/>
      </rPr>
      <t>7</t>
    </r>
    <r>
      <rPr>
        <sz val="8"/>
        <color rgb="FF000000"/>
        <rFont val="Noto Sans CJK SC"/>
        <family val="2"/>
      </rPr>
      <t>名以上面談し、うち</t>
    </r>
    <r>
      <rPr>
        <sz val="8"/>
        <color rgb="FF000000"/>
        <rFont val="Meiryo UI"/>
        <family val="2"/>
        <charset val="1"/>
      </rPr>
      <t>3</t>
    </r>
    <r>
      <rPr>
        <sz val="8"/>
        <color rgb="FF000000"/>
        <rFont val="Noto Sans CJK SC"/>
        <family val="2"/>
      </rPr>
      <t>名以上の内定承諾に貢献</t>
    </r>
  </si>
  <si>
    <r>
      <rPr>
        <sz val="8"/>
        <color rgb="FF000000"/>
        <rFont val="Noto Sans CJK SC"/>
        <family val="2"/>
      </rPr>
      <t>・既存クライアント</t>
    </r>
    <r>
      <rPr>
        <sz val="8"/>
        <color rgb="FF000000"/>
        <rFont val="Meiryo UI"/>
        <family val="2"/>
        <charset val="1"/>
      </rPr>
      <t>3</t>
    </r>
    <r>
      <rPr>
        <sz val="8"/>
        <color rgb="FF000000"/>
        <rFont val="Noto Sans CJK SC"/>
        <family val="2"/>
      </rPr>
      <t>社において、経営トップまたは事業責任者レベルとの四半期ごとの戦略ディスカッションを主導</t>
    </r>
  </si>
  <si>
    <r>
      <rPr>
        <sz val="8"/>
        <color rgb="FF000000"/>
        <rFont val="Noto Sans CJK SC"/>
        <family val="2"/>
      </rPr>
      <t>・新規クライアント</t>
    </r>
    <r>
      <rPr>
        <sz val="8"/>
        <color rgb="FF000000"/>
        <rFont val="Meiryo UI"/>
        <family val="2"/>
        <charset val="1"/>
      </rPr>
      <t>5</t>
    </r>
    <r>
      <rPr>
        <sz val="8"/>
        <color rgb="FF000000"/>
        <rFont val="Noto Sans CJK SC"/>
        <family val="2"/>
      </rPr>
      <t>社へのアプローチをリードし、うち</t>
    </r>
    <r>
      <rPr>
        <sz val="8"/>
        <color rgb="FF000000"/>
        <rFont val="Meiryo UI"/>
        <family val="2"/>
        <charset val="1"/>
      </rPr>
      <t>3</t>
    </r>
    <r>
      <rPr>
        <sz val="8"/>
        <color rgb="FF000000"/>
        <rFont val="Noto Sans CJK SC"/>
        <family val="2"/>
      </rPr>
      <t>社でパイロット案件を受注</t>
    </r>
  </si>
  <si>
    <r>
      <rPr>
        <sz val="8"/>
        <color rgb="FF000000"/>
        <rFont val="Noto Sans CJK SC"/>
        <family val="2"/>
      </rPr>
      <t>・運輸業界の事業戦略立案手法に関する社内トレーニングを年</t>
    </r>
    <r>
      <rPr>
        <sz val="8"/>
        <color rgb="FF000000"/>
        <rFont val="Meiryo UI"/>
        <family val="2"/>
        <charset val="1"/>
      </rPr>
      <t>3</t>
    </r>
    <r>
      <rPr>
        <sz val="8"/>
        <color rgb="FF000000"/>
        <rFont val="Noto Sans CJK SC"/>
        <family val="2"/>
      </rPr>
      <t>回開催</t>
    </r>
  </si>
  <si>
    <r>
      <rPr>
        <sz val="8"/>
        <color rgb="FF000000"/>
        <rFont val="Noto Sans CJK SC"/>
        <family val="2"/>
      </rPr>
      <t>・製造業または小売業の成長戦略に関するホワイトペーパーを年</t>
    </r>
    <r>
      <rPr>
        <sz val="8"/>
        <color rgb="FF000000"/>
        <rFont val="Meiryo UI"/>
        <family val="2"/>
        <charset val="1"/>
      </rPr>
      <t>1</t>
    </r>
    <r>
      <rPr>
        <sz val="8"/>
        <color rgb="FF000000"/>
        <rFont val="Noto Sans CJK SC"/>
        <family val="2"/>
      </rPr>
      <t>本発信</t>
    </r>
  </si>
  <si>
    <r>
      <rPr>
        <sz val="8"/>
        <color rgb="FF000000"/>
        <rFont val="Meiryo UI"/>
        <family val="3"/>
        <charset val="128"/>
      </rPr>
      <t>Transportation(2025/12</t>
    </r>
    <r>
      <rPr>
        <sz val="8"/>
        <color rgb="FF000000"/>
        <rFont val="Noto Sans CJK SC"/>
        <family val="2"/>
      </rPr>
      <t>～</t>
    </r>
    <r>
      <rPr>
        <sz val="8"/>
        <color rgb="FF000000"/>
        <rFont val="Meiryo UI"/>
        <family val="3"/>
        <charset val="128"/>
      </rPr>
      <t>)</t>
    </r>
  </si>
  <si>
    <r>
      <rPr>
        <sz val="8"/>
        <color rgb="FF000000"/>
        <rFont val="Noto Sans CJK SC"/>
        <family val="2"/>
      </rPr>
      <t>・経営層向けネットワーキングイベントや採用セッションに</t>
    </r>
    <r>
      <rPr>
        <sz val="8"/>
        <color rgb="FF000000"/>
        <rFont val="Meiryo UI"/>
        <family val="2"/>
        <charset val="1"/>
      </rPr>
      <t>2</t>
    </r>
    <r>
      <rPr>
        <sz val="8"/>
        <color rgb="FF000000"/>
        <rFont val="Noto Sans CJK SC"/>
        <family val="2"/>
      </rPr>
      <t>回以上参画</t>
    </r>
  </si>
  <si>
    <r>
      <rPr>
        <sz val="8"/>
        <color rgb="FF000000"/>
        <rFont val="Noto Sans CJK SC"/>
        <family val="2"/>
      </rPr>
      <t>・</t>
    </r>
    <r>
      <rPr>
        <sz val="8"/>
        <color rgb="FF000000"/>
        <rFont val="Meiryo UI"/>
        <family val="2"/>
        <charset val="1"/>
      </rPr>
      <t>M&amp;A</t>
    </r>
    <r>
      <rPr>
        <sz val="8"/>
        <color rgb="FF000000"/>
        <rFont val="Noto Sans CJK SC"/>
        <family val="2"/>
      </rPr>
      <t>戦略、新規事業立案、</t>
    </r>
    <r>
      <rPr>
        <sz val="8"/>
        <color rgb="FF000000"/>
        <rFont val="Meiryo UI"/>
        <family val="2"/>
        <charset val="1"/>
      </rPr>
      <t>DX</t>
    </r>
    <r>
      <rPr>
        <sz val="8"/>
        <color rgb="FF000000"/>
        <rFont val="Noto Sans CJK SC"/>
        <family val="2"/>
      </rPr>
      <t>推進に関する定期的な情報交換セッションを年</t>
    </r>
    <r>
      <rPr>
        <sz val="8"/>
        <color rgb="FF000000"/>
        <rFont val="Meiryo UI"/>
        <family val="2"/>
        <charset val="1"/>
      </rPr>
      <t>6</t>
    </r>
    <r>
      <rPr>
        <sz val="8"/>
        <color rgb="FF000000"/>
        <rFont val="Noto Sans CJK SC"/>
        <family val="2"/>
      </rPr>
      <t>回以上実施</t>
    </r>
  </si>
  <si>
    <r>
      <rPr>
        <sz val="8"/>
        <color rgb="FF000000"/>
        <rFont val="Noto Sans CJK SC"/>
        <family val="2"/>
      </rPr>
      <t>・</t>
    </r>
    <r>
      <rPr>
        <sz val="8"/>
        <color rgb="FF000000"/>
        <rFont val="Meiryo UI"/>
        <family val="2"/>
        <charset val="1"/>
      </rPr>
      <t>Thought Leadership</t>
    </r>
    <r>
      <rPr>
        <sz val="8"/>
        <color rgb="FF000000"/>
        <rFont val="Noto Sans CJK SC"/>
        <family val="2"/>
      </rPr>
      <t>コンテンツを活用した提案活動を実施</t>
    </r>
  </si>
  <si>
    <r>
      <rPr>
        <sz val="8"/>
        <color rgb="FF000000"/>
        <rFont val="Noto Sans CJK SC"/>
        <family val="2"/>
      </rPr>
      <t>・経営層向けフォーラムまたは業界カンファレンスへの登壇を年</t>
    </r>
    <r>
      <rPr>
        <sz val="8"/>
        <color rgb="FF000000"/>
        <rFont val="Meiryo UI"/>
        <family val="2"/>
        <charset val="1"/>
      </rPr>
      <t>1</t>
    </r>
    <r>
      <rPr>
        <sz val="8"/>
        <color rgb="FF000000"/>
        <rFont val="Noto Sans CJK SC"/>
        <family val="2"/>
      </rPr>
      <t>回以上実施</t>
    </r>
  </si>
  <si>
    <t>中尾 亮</t>
  </si>
  <si>
    <r>
      <rPr>
        <sz val="8"/>
        <color rgb="FF000000"/>
        <rFont val="Meiryo UI"/>
        <family val="3"/>
        <charset val="128"/>
      </rPr>
      <t>Consumer</t>
    </r>
    <r>
      <rPr>
        <sz val="8"/>
        <color rgb="FF000000"/>
        <rFont val="Noto Sans CJK SC"/>
        <family val="2"/>
      </rPr>
      <t>＆</t>
    </r>
    <r>
      <rPr>
        <sz val="8"/>
        <color rgb="FF000000"/>
        <rFont val="Meiryo UI"/>
        <family val="3"/>
        <charset val="128"/>
      </rPr>
      <t>Retail</t>
    </r>
  </si>
  <si>
    <t>JTB</t>
  </si>
  <si>
    <r>
      <rPr>
        <sz val="8"/>
        <color rgb="FF000000"/>
        <rFont val="Noto Sans CJK SC"/>
        <family val="2"/>
      </rPr>
      <t>・流通小売・消費財業界の戦略コンサルタント経験者を年間</t>
    </r>
    <r>
      <rPr>
        <sz val="8"/>
        <color rgb="FF000000"/>
        <rFont val="Meiryo UI"/>
        <family val="2"/>
        <charset val="1"/>
      </rPr>
      <t>5</t>
    </r>
    <r>
      <rPr>
        <sz val="8"/>
        <color rgb="FF000000"/>
        <rFont val="Noto Sans CJK SC"/>
        <family val="2"/>
      </rPr>
      <t>名以上面談し、うち</t>
    </r>
    <r>
      <rPr>
        <sz val="8"/>
        <color rgb="FF000000"/>
        <rFont val="Meiryo UI"/>
        <family val="2"/>
        <charset val="1"/>
      </rPr>
      <t>2</t>
    </r>
    <r>
      <rPr>
        <sz val="8"/>
        <color rgb="FF000000"/>
        <rFont val="Noto Sans CJK SC"/>
        <family val="2"/>
      </rPr>
      <t>名以上の内定承諾に貢献</t>
    </r>
  </si>
  <si>
    <t>・ターゲットアカウントにおいて、経営企画責任者レベルとの四半期ごとの戦略ディスカッションを実施</t>
  </si>
  <si>
    <t>・ターゲットアカウントへのアプローチをリードし、パイロット案件を受注</t>
  </si>
  <si>
    <r>
      <rPr>
        <sz val="8"/>
        <color rgb="FF000000"/>
        <rFont val="Noto Sans CJK SC"/>
        <family val="2"/>
      </rPr>
      <t>・成長戦略立案手法に関する社内ワークショップを年</t>
    </r>
    <r>
      <rPr>
        <sz val="8"/>
        <color rgb="FF000000"/>
        <rFont val="Meiryo UI"/>
        <family val="2"/>
        <charset val="1"/>
      </rPr>
      <t>2</t>
    </r>
    <r>
      <rPr>
        <sz val="8"/>
        <color rgb="FF000000"/>
        <rFont val="Noto Sans CJK SC"/>
        <family val="2"/>
      </rPr>
      <t>回開催</t>
    </r>
  </si>
  <si>
    <r>
      <rPr>
        <sz val="8"/>
        <color rgb="FF000000"/>
        <rFont val="Noto Sans CJK SC"/>
        <family val="2"/>
      </rPr>
      <t>・流通小売業界の成長戦略またはサステナビリティ戦略に関するホワイトペーパーを年</t>
    </r>
    <r>
      <rPr>
        <sz val="8"/>
        <color rgb="FF000000"/>
        <rFont val="Meiryo UI"/>
        <family val="2"/>
        <charset val="1"/>
      </rPr>
      <t>1</t>
    </r>
    <r>
      <rPr>
        <sz val="8"/>
        <color rgb="FF000000"/>
        <rFont val="Noto Sans CJK SC"/>
        <family val="2"/>
      </rPr>
      <t>本発信</t>
    </r>
  </si>
  <si>
    <r>
      <rPr>
        <sz val="8"/>
        <color rgb="FF000000"/>
        <rFont val="Noto Sans CJK SC"/>
        <family val="2"/>
      </rPr>
      <t>・サステナビリティ戦略やサプライチェーン改革に関する情報提供セッションを年</t>
    </r>
    <r>
      <rPr>
        <sz val="8"/>
        <color rgb="FF000000"/>
        <rFont val="Meiryo UI"/>
        <family val="2"/>
        <charset val="1"/>
      </rPr>
      <t>3</t>
    </r>
    <r>
      <rPr>
        <sz val="8"/>
        <color rgb="FF000000"/>
        <rFont val="Noto Sans CJK SC"/>
        <family val="2"/>
      </rPr>
      <t>回以上実施</t>
    </r>
  </si>
  <si>
    <t>・業界トレンド分析やベンチマーク情報を活用した提案活動を四半期ごとに実施</t>
  </si>
  <si>
    <r>
      <rPr>
        <sz val="8"/>
        <color rgb="FF000000"/>
        <rFont val="Noto Sans CJK SC"/>
        <family val="2"/>
      </rPr>
      <t>・プロジェクトにおいて</t>
    </r>
    <r>
      <rPr>
        <sz val="8"/>
        <color rgb="FF000000"/>
        <rFont val="Meiryo UI"/>
        <family val="2"/>
        <charset val="1"/>
      </rPr>
      <t>3</t>
    </r>
    <r>
      <rPr>
        <sz val="8"/>
        <color rgb="FF000000"/>
        <rFont val="Noto Sans CJK SC"/>
        <family val="2"/>
      </rPr>
      <t>名以上のジュニアコンサルタントへの</t>
    </r>
    <r>
      <rPr>
        <sz val="8"/>
        <color rgb="FF000000"/>
        <rFont val="Meiryo UI"/>
        <family val="2"/>
        <charset val="1"/>
      </rPr>
      <t>OJT</t>
    </r>
    <r>
      <rPr>
        <sz val="8"/>
        <color rgb="FF000000"/>
        <rFont val="Noto Sans CJK SC"/>
        <family val="2"/>
      </rPr>
      <t>指導を実施し、戦略思考力を育成</t>
    </r>
  </si>
  <si>
    <r>
      <rPr>
        <sz val="8"/>
        <color rgb="FF000000"/>
        <rFont val="Noto Sans CJK SC"/>
        <family val="2"/>
      </rPr>
      <t>・業界セミナーまたはフォーラムへの登壇を年</t>
    </r>
    <r>
      <rPr>
        <sz val="8"/>
        <color rgb="FF000000"/>
        <rFont val="Meiryo UI"/>
        <family val="2"/>
        <charset val="1"/>
      </rPr>
      <t>1</t>
    </r>
    <r>
      <rPr>
        <sz val="8"/>
        <color rgb="FF000000"/>
        <rFont val="Noto Sans CJK SC"/>
        <family val="2"/>
      </rPr>
      <t>回以上実施</t>
    </r>
  </si>
  <si>
    <t>髙橋 敦</t>
  </si>
  <si>
    <t>Auto→Construction</t>
  </si>
  <si>
    <t>日産</t>
  </si>
  <si>
    <r>
      <rPr>
        <sz val="8"/>
        <color rgb="FF000000"/>
        <rFont val="Noto Sans CJK SC"/>
        <family val="2"/>
      </rPr>
      <t>・建設・不動産業界のコンサルタント経験者を年間</t>
    </r>
    <r>
      <rPr>
        <sz val="8"/>
        <color rgb="FF000000"/>
        <rFont val="Meiryo UI"/>
        <family val="2"/>
        <charset val="1"/>
      </rPr>
      <t>5</t>
    </r>
    <r>
      <rPr>
        <sz val="8"/>
        <color rgb="FF000000"/>
        <rFont val="Noto Sans CJK SC"/>
        <family val="2"/>
      </rPr>
      <t>名以上面談し、うち</t>
    </r>
    <r>
      <rPr>
        <sz val="8"/>
        <color rgb="FF000000"/>
        <rFont val="Meiryo UI"/>
        <family val="2"/>
        <charset val="1"/>
      </rPr>
      <t>2</t>
    </r>
    <r>
      <rPr>
        <sz val="8"/>
        <color rgb="FF000000"/>
        <rFont val="Noto Sans CJK SC"/>
        <family val="2"/>
      </rPr>
      <t>名以上の内定承諾に貢献</t>
    </r>
  </si>
  <si>
    <r>
      <rPr>
        <sz val="8"/>
        <color rgb="FF000000"/>
        <rFont val="Noto Sans CJK SC"/>
        <family val="2"/>
      </rPr>
      <t>・既存建設・不動産クライアント</t>
    </r>
    <r>
      <rPr>
        <sz val="8"/>
        <color rgb="FF000000"/>
        <rFont val="Meiryo UI"/>
        <family val="2"/>
        <charset val="1"/>
      </rPr>
      <t>2</t>
    </r>
    <r>
      <rPr>
        <sz val="8"/>
        <color rgb="FF000000"/>
        <rFont val="Noto Sans CJK SC"/>
        <family val="2"/>
      </rPr>
      <t>社において、事業責任者レベルとの四半期ごとの戦略ディスカッションを実施</t>
    </r>
  </si>
  <si>
    <r>
      <rPr>
        <sz val="8"/>
        <color rgb="FF000000"/>
        <rFont val="Noto Sans CJK SC"/>
        <family val="2"/>
      </rPr>
      <t>・新規建設・不動産企業または自治体</t>
    </r>
    <r>
      <rPr>
        <sz val="8"/>
        <color rgb="FF000000"/>
        <rFont val="Meiryo UI"/>
        <family val="2"/>
        <charset val="1"/>
      </rPr>
      <t>3</t>
    </r>
    <r>
      <rPr>
        <sz val="8"/>
        <color rgb="FF000000"/>
        <rFont val="Noto Sans CJK SC"/>
        <family val="2"/>
      </rPr>
      <t>社へのアプローチをリードし、うち</t>
    </r>
    <r>
      <rPr>
        <sz val="8"/>
        <color rgb="FF000000"/>
        <rFont val="Meiryo UI"/>
        <family val="2"/>
        <charset val="1"/>
      </rPr>
      <t>1</t>
    </r>
    <r>
      <rPr>
        <sz val="8"/>
        <color rgb="FF000000"/>
        <rFont val="Noto Sans CJK SC"/>
        <family val="2"/>
      </rPr>
      <t>社でパイロット案件を受注</t>
    </r>
  </si>
  <si>
    <r>
      <rPr>
        <sz val="8"/>
        <color rgb="FF000000"/>
        <rFont val="Noto Sans CJK SC"/>
        <family val="2"/>
      </rPr>
      <t>・建設業界の戦略策定手法に関する社内勉強会を年</t>
    </r>
    <r>
      <rPr>
        <sz val="8"/>
        <color rgb="FF000000"/>
        <rFont val="Meiryo UI"/>
        <family val="2"/>
        <charset val="1"/>
      </rPr>
      <t>2</t>
    </r>
    <r>
      <rPr>
        <sz val="8"/>
        <color rgb="FF000000"/>
        <rFont val="Noto Sans CJK SC"/>
        <family val="2"/>
      </rPr>
      <t>回開催</t>
    </r>
  </si>
  <si>
    <r>
      <rPr>
        <sz val="8"/>
        <color rgb="FF000000"/>
        <rFont val="Noto Sans CJK SC"/>
        <family val="2"/>
      </rPr>
      <t>・スマートシティまたは建設業界の未来戦略に関するホワイトペーパーを年</t>
    </r>
    <r>
      <rPr>
        <sz val="8"/>
        <color rgb="FF000000"/>
        <rFont val="Meiryo UI"/>
        <family val="2"/>
        <charset val="1"/>
      </rPr>
      <t>1</t>
    </r>
    <r>
      <rPr>
        <sz val="8"/>
        <color rgb="FF000000"/>
        <rFont val="Noto Sans CJK SC"/>
        <family val="2"/>
      </rPr>
      <t>本発信</t>
    </r>
  </si>
  <si>
    <r>
      <rPr>
        <sz val="8"/>
        <color rgb="FF000000"/>
        <rFont val="Noto Sans CJK SC"/>
        <family val="2"/>
      </rPr>
      <t>・スマートシティ戦略やモビリティサービスに関する情報提供セッションを年</t>
    </r>
    <r>
      <rPr>
        <sz val="8"/>
        <color rgb="FF000000"/>
        <rFont val="Meiryo UI"/>
        <family val="2"/>
        <charset val="1"/>
      </rPr>
      <t>4</t>
    </r>
    <r>
      <rPr>
        <sz val="8"/>
        <color rgb="FF000000"/>
        <rFont val="Noto Sans CJK SC"/>
        <family val="2"/>
      </rPr>
      <t>回以上開催</t>
    </r>
  </si>
  <si>
    <t>・スマートシティ構想や未来洞察レポートを活用した提案活動を実施</t>
  </si>
  <si>
    <r>
      <rPr>
        <sz val="8"/>
        <color rgb="FF000000"/>
        <rFont val="Noto Sans CJK SC"/>
        <family val="2"/>
      </rPr>
      <t>・プロジェクトにおいて</t>
    </r>
    <r>
      <rPr>
        <sz val="8"/>
        <color rgb="FF000000"/>
        <rFont val="Meiryo UI"/>
        <family val="2"/>
        <charset val="1"/>
      </rPr>
      <t>2</t>
    </r>
    <r>
      <rPr>
        <sz val="8"/>
        <color rgb="FF000000"/>
        <rFont val="Noto Sans CJK SC"/>
        <family val="2"/>
      </rPr>
      <t>名以上のメンバーへの</t>
    </r>
    <r>
      <rPr>
        <sz val="8"/>
        <color rgb="FF000000"/>
        <rFont val="Meiryo UI"/>
        <family val="2"/>
        <charset val="1"/>
      </rPr>
      <t>OJT</t>
    </r>
    <r>
      <rPr>
        <sz val="8"/>
        <color rgb="FF000000"/>
        <rFont val="Noto Sans CJK SC"/>
        <family val="2"/>
      </rPr>
      <t>指導を実施</t>
    </r>
  </si>
  <si>
    <r>
      <rPr>
        <sz val="8"/>
        <color rgb="FF000000"/>
        <rFont val="Noto Sans CJK SC"/>
        <family val="2"/>
      </rPr>
      <t>・スマートシティフォーラムまたは建設業界セミナーへの登壇を年</t>
    </r>
    <r>
      <rPr>
        <sz val="8"/>
        <color rgb="FF000000"/>
        <rFont val="Meiryo UI"/>
        <family val="2"/>
        <charset val="1"/>
      </rPr>
      <t>1</t>
    </r>
    <r>
      <rPr>
        <sz val="8"/>
        <color rgb="FF000000"/>
        <rFont val="Noto Sans CJK SC"/>
        <family val="2"/>
      </rPr>
      <t>回以上実施</t>
    </r>
  </si>
  <si>
    <t>高橋 新</t>
  </si>
  <si>
    <t>Auto</t>
  </si>
  <si>
    <t>ホンダ</t>
  </si>
  <si>
    <r>
      <rPr>
        <sz val="8"/>
        <color rgb="FF000000"/>
        <rFont val="Noto Sans CJK SC"/>
        <family val="2"/>
      </rPr>
      <t>・ターゲットアカウントにおいて、</t>
    </r>
    <r>
      <rPr>
        <sz val="8"/>
        <color rgb="FF000000"/>
        <rFont val="Meiryo UI"/>
        <family val="2"/>
        <charset val="1"/>
      </rPr>
      <t>CFO</t>
    </r>
    <r>
      <rPr>
        <sz val="8"/>
        <color rgb="FF000000"/>
        <rFont val="Noto Sans CJK SC"/>
        <family val="2"/>
      </rPr>
      <t>または経営企画責任者との四半期ごとの戦略対話を実施</t>
    </r>
  </si>
  <si>
    <r>
      <rPr>
        <sz val="8"/>
        <color rgb="FF000000"/>
        <rFont val="Noto Sans CJK SC"/>
        <family val="2"/>
      </rPr>
      <t>・新規金融機関または製造業</t>
    </r>
    <r>
      <rPr>
        <sz val="8"/>
        <color rgb="FF000000"/>
        <rFont val="Meiryo UI"/>
        <family val="2"/>
        <charset val="1"/>
      </rPr>
      <t>3</t>
    </r>
    <r>
      <rPr>
        <sz val="8"/>
        <color rgb="FF000000"/>
        <rFont val="Noto Sans CJK SC"/>
        <family val="2"/>
      </rPr>
      <t>社へのアプローチをリードし、うち</t>
    </r>
    <r>
      <rPr>
        <sz val="8"/>
        <color rgb="FF000000"/>
        <rFont val="Meiryo UI"/>
        <family val="2"/>
        <charset val="1"/>
      </rPr>
      <t>1</t>
    </r>
    <r>
      <rPr>
        <sz val="8"/>
        <color rgb="FF000000"/>
        <rFont val="Noto Sans CJK SC"/>
        <family val="2"/>
      </rPr>
      <t>社で</t>
    </r>
    <r>
      <rPr>
        <sz val="8"/>
        <color rgb="FF000000"/>
        <rFont val="Meiryo UI"/>
        <family val="2"/>
        <charset val="1"/>
      </rPr>
      <t>M&amp;A</t>
    </r>
    <r>
      <rPr>
        <sz val="8"/>
        <color rgb="FF000000"/>
        <rFont val="Noto Sans CJK SC"/>
        <family val="2"/>
      </rPr>
      <t>関連案件を受注</t>
    </r>
  </si>
  <si>
    <r>
      <rPr>
        <sz val="8"/>
        <color rgb="FF000000"/>
        <rFont val="Noto Sans CJK SC"/>
        <family val="2"/>
      </rPr>
      <t>・</t>
    </r>
    <r>
      <rPr>
        <sz val="8"/>
        <color rgb="FF000000"/>
        <rFont val="Meiryo UI"/>
        <family val="2"/>
        <charset val="1"/>
      </rPr>
      <t>M&amp;A/PMI</t>
    </r>
    <r>
      <rPr>
        <sz val="8"/>
        <color rgb="FF000000"/>
        <rFont val="Noto Sans CJK SC"/>
        <family val="2"/>
      </rPr>
      <t>手法に関する社内勉強会を年</t>
    </r>
    <r>
      <rPr>
        <sz val="8"/>
        <color rgb="FF000000"/>
        <rFont val="Meiryo UI"/>
        <family val="2"/>
        <charset val="1"/>
      </rPr>
      <t>2</t>
    </r>
    <r>
      <rPr>
        <sz val="8"/>
        <color rgb="FF000000"/>
        <rFont val="Noto Sans CJK SC"/>
        <family val="2"/>
      </rPr>
      <t>回開催</t>
    </r>
  </si>
  <si>
    <r>
      <rPr>
        <sz val="8"/>
        <color rgb="FF000000"/>
        <rFont val="Noto Sans CJK SC"/>
        <family val="2"/>
      </rPr>
      <t>・</t>
    </r>
    <r>
      <rPr>
        <sz val="8"/>
        <color rgb="FF000000"/>
        <rFont val="Meiryo UI"/>
        <family val="2"/>
        <charset val="1"/>
      </rPr>
      <t>M&amp;A</t>
    </r>
    <r>
      <rPr>
        <sz val="8"/>
        <color rgb="FF000000"/>
        <rFont val="Noto Sans CJK SC"/>
        <family val="2"/>
      </rPr>
      <t>または事業再編に関する論考を年</t>
    </r>
    <r>
      <rPr>
        <sz val="8"/>
        <color rgb="FF000000"/>
        <rFont val="Meiryo UI"/>
        <family val="2"/>
        <charset val="1"/>
      </rPr>
      <t>1</t>
    </r>
    <r>
      <rPr>
        <sz val="8"/>
        <color rgb="FF000000"/>
        <rFont val="Noto Sans CJK SC"/>
        <family val="2"/>
      </rPr>
      <t>本発信</t>
    </r>
  </si>
  <si>
    <r>
      <rPr>
        <sz val="8"/>
        <color rgb="FF000000"/>
        <rFont val="Noto Sans CJK SC"/>
        <family val="2"/>
      </rPr>
      <t>・</t>
    </r>
    <r>
      <rPr>
        <sz val="8"/>
        <color rgb="FF000000"/>
        <rFont val="Meiryo UI"/>
        <family val="2"/>
        <charset val="1"/>
      </rPr>
      <t>M&amp;A</t>
    </r>
    <r>
      <rPr>
        <sz val="8"/>
        <color rgb="FF000000"/>
        <rFont val="Noto Sans CJK SC"/>
        <family val="2"/>
      </rPr>
      <t>戦略やグローバル経営に関する情報提供セッションを年</t>
    </r>
    <r>
      <rPr>
        <sz val="8"/>
        <color rgb="FF000000"/>
        <rFont val="Meiryo UI"/>
        <family val="2"/>
        <charset val="1"/>
      </rPr>
      <t>4</t>
    </r>
    <r>
      <rPr>
        <sz val="8"/>
        <color rgb="FF000000"/>
        <rFont val="Noto Sans CJK SC"/>
        <family val="2"/>
      </rPr>
      <t>回以上開催</t>
    </r>
  </si>
  <si>
    <t>・事業再編やカーブアウト事例を活用した提案活動を四半期ごとに実施</t>
  </si>
  <si>
    <r>
      <rPr>
        <sz val="8"/>
        <color rgb="FF000000"/>
        <rFont val="Noto Sans CJK SC"/>
        <family val="2"/>
      </rPr>
      <t>・</t>
    </r>
    <r>
      <rPr>
        <sz val="8"/>
        <color rgb="FF000000"/>
        <rFont val="Meiryo UI"/>
        <family val="2"/>
        <charset val="1"/>
      </rPr>
      <t>M&amp;A</t>
    </r>
    <r>
      <rPr>
        <sz val="8"/>
        <color rgb="FF000000"/>
        <rFont val="Noto Sans CJK SC"/>
        <family val="2"/>
      </rPr>
      <t>フォーラムまたは金融業界セミナーへの登壇を年</t>
    </r>
    <r>
      <rPr>
        <sz val="8"/>
        <color rgb="FF000000"/>
        <rFont val="Meiryo UI"/>
        <family val="2"/>
        <charset val="1"/>
      </rPr>
      <t>1</t>
    </r>
    <r>
      <rPr>
        <sz val="8"/>
        <color rgb="FF000000"/>
        <rFont val="Noto Sans CJK SC"/>
        <family val="2"/>
      </rPr>
      <t>回以上実施</t>
    </r>
  </si>
  <si>
    <t>石川 利一</t>
  </si>
  <si>
    <t>Public</t>
  </si>
  <si>
    <t>官公庁</t>
  </si>
  <si>
    <t>・アバナードメンバーのスムーズな転籍プログラムの実行</t>
  </si>
  <si>
    <r>
      <rPr>
        <sz val="8"/>
        <color rgb="FF000000"/>
        <rFont val="Noto Sans CJK SC"/>
        <family val="2"/>
      </rPr>
      <t>・官公庁または公共機関の既存クライアント</t>
    </r>
    <r>
      <rPr>
        <sz val="8"/>
        <color rgb="FF000000"/>
        <rFont val="Meiryo UI"/>
        <family val="2"/>
        <charset val="1"/>
      </rPr>
      <t>2</t>
    </r>
    <r>
      <rPr>
        <sz val="8"/>
        <color rgb="FF000000"/>
        <rFont val="Noto Sans CJK SC"/>
        <family val="2"/>
      </rPr>
      <t>機関において、部局長レベルとの定期的なリレーション活動を実施</t>
    </r>
  </si>
  <si>
    <r>
      <rPr>
        <sz val="8"/>
        <color rgb="FF000000"/>
        <rFont val="Noto Sans CJK SC"/>
        <family val="2"/>
      </rPr>
      <t>・新規官公庁または自治体</t>
    </r>
    <r>
      <rPr>
        <sz val="8"/>
        <color rgb="FF000000"/>
        <rFont val="Meiryo UI"/>
        <family val="2"/>
        <charset val="1"/>
      </rPr>
      <t>2</t>
    </r>
    <r>
      <rPr>
        <sz val="8"/>
        <color rgb="FF000000"/>
        <rFont val="Noto Sans CJK SC"/>
        <family val="2"/>
      </rPr>
      <t>機関へのアプローチをリードし、</t>
    </r>
    <r>
      <rPr>
        <sz val="8"/>
        <color rgb="FF000000"/>
        <rFont val="Meiryo UI"/>
        <family val="2"/>
        <charset val="1"/>
      </rPr>
      <t>1</t>
    </r>
    <r>
      <rPr>
        <sz val="8"/>
        <color rgb="FF000000"/>
        <rFont val="Noto Sans CJK SC"/>
        <family val="2"/>
      </rPr>
      <t>件以上のプロジェクトを受注</t>
    </r>
  </si>
  <si>
    <r>
      <rPr>
        <sz val="8"/>
        <color rgb="FF000000"/>
        <rFont val="Noto Sans CJK SC"/>
        <family val="2"/>
      </rPr>
      <t>・官公庁ビジネスの特性や年金・社会保障制度に関する社内勉強会を年</t>
    </r>
    <r>
      <rPr>
        <sz val="8"/>
        <color rgb="FF000000"/>
        <rFont val="Meiryo UI"/>
        <family val="2"/>
        <charset val="1"/>
      </rPr>
      <t>2</t>
    </r>
    <r>
      <rPr>
        <sz val="8"/>
        <color rgb="FF000000"/>
        <rFont val="Noto Sans CJK SC"/>
        <family val="2"/>
      </rPr>
      <t>回開催</t>
    </r>
  </si>
  <si>
    <r>
      <rPr>
        <sz val="8"/>
        <color rgb="FF000000"/>
        <rFont val="Noto Sans CJK SC"/>
        <family val="2"/>
      </rPr>
      <t>・行政</t>
    </r>
    <r>
      <rPr>
        <sz val="8"/>
        <color rgb="FF000000"/>
        <rFont val="Meiryo UI"/>
        <family val="2"/>
        <charset val="1"/>
      </rPr>
      <t>DX</t>
    </r>
    <r>
      <rPr>
        <sz val="8"/>
        <color rgb="FF000000"/>
        <rFont val="Noto Sans CJK SC"/>
        <family val="2"/>
      </rPr>
      <t>または社会保障政策に関する論考を年</t>
    </r>
    <r>
      <rPr>
        <sz val="8"/>
        <color rgb="FF000000"/>
        <rFont val="Meiryo UI"/>
        <family val="2"/>
        <charset val="1"/>
      </rPr>
      <t>1</t>
    </r>
    <r>
      <rPr>
        <sz val="8"/>
        <color rgb="FF000000"/>
        <rFont val="Noto Sans CJK SC"/>
        <family val="2"/>
      </rPr>
      <t>本発信</t>
    </r>
  </si>
  <si>
    <r>
      <rPr>
        <sz val="8"/>
        <color rgb="FF000000"/>
        <rFont val="Noto Sans CJK SC"/>
        <family val="2"/>
      </rPr>
      <t>・行政</t>
    </r>
    <r>
      <rPr>
        <sz val="8"/>
        <color rgb="FF000000"/>
        <rFont val="Meiryo UI"/>
        <family val="2"/>
        <charset val="1"/>
      </rPr>
      <t>DX</t>
    </r>
    <r>
      <rPr>
        <sz val="8"/>
        <color rgb="FF000000"/>
        <rFont val="Noto Sans CJK SC"/>
        <family val="2"/>
      </rPr>
      <t>や社会保障制度改革に関する情報提供セッションを年</t>
    </r>
    <r>
      <rPr>
        <sz val="8"/>
        <color rgb="FF000000"/>
        <rFont val="Meiryo UI"/>
        <family val="2"/>
        <charset val="1"/>
      </rPr>
      <t>3</t>
    </r>
    <r>
      <rPr>
        <sz val="8"/>
        <color rgb="FF000000"/>
        <rFont val="Noto Sans CJK SC"/>
        <family val="2"/>
      </rPr>
      <t>回以上実施</t>
    </r>
  </si>
  <si>
    <t>・政策動向レポートや先進事例紹介を活用した提案活動を実施</t>
  </si>
  <si>
    <r>
      <rPr>
        <sz val="8"/>
        <color rgb="FF000000"/>
        <rFont val="Noto Sans CJK SC"/>
        <family val="2"/>
      </rPr>
      <t>・公共セクタープロジェクトにおいて</t>
    </r>
    <r>
      <rPr>
        <sz val="8"/>
        <color rgb="FF000000"/>
        <rFont val="Meiryo UI"/>
        <family val="2"/>
        <charset val="1"/>
      </rPr>
      <t>2</t>
    </r>
    <r>
      <rPr>
        <sz val="8"/>
        <color rgb="FF000000"/>
        <rFont val="Noto Sans CJK SC"/>
        <family val="2"/>
      </rPr>
      <t>名以上のメンバーへの実務指導を実施</t>
    </r>
  </si>
  <si>
    <r>
      <rPr>
        <sz val="8"/>
        <color rgb="FF000000"/>
        <rFont val="Noto Sans CJK SC"/>
        <family val="2"/>
      </rPr>
      <t>・公共政策フォーラムまたは自治体向けセミナーへの登壇を年</t>
    </r>
    <r>
      <rPr>
        <sz val="8"/>
        <color rgb="FF000000"/>
        <rFont val="Meiryo UI"/>
        <family val="2"/>
        <charset val="1"/>
      </rPr>
      <t>1</t>
    </r>
    <r>
      <rPr>
        <sz val="8"/>
        <color rgb="FF000000"/>
        <rFont val="Noto Sans CJK SC"/>
        <family val="2"/>
      </rPr>
      <t>回以上実施</t>
    </r>
  </si>
  <si>
    <t>池田 正昭</t>
  </si>
  <si>
    <t>Solution</t>
  </si>
  <si>
    <t>Corporate Finance</t>
  </si>
  <si>
    <t>OSG</t>
  </si>
  <si>
    <r>
      <rPr>
        <sz val="8"/>
        <color rgb="FF000000"/>
        <rFont val="Noto Sans CJK SC"/>
        <family val="2"/>
      </rPr>
      <t>・コーポレートファイナンスまたは</t>
    </r>
    <r>
      <rPr>
        <sz val="8"/>
        <color rgb="FF000000"/>
        <rFont val="Meiryo UI"/>
        <family val="2"/>
        <charset val="1"/>
      </rPr>
      <t>M&amp;A</t>
    </r>
    <r>
      <rPr>
        <sz val="8"/>
        <color rgb="FF000000"/>
        <rFont val="Noto Sans CJK SC"/>
        <family val="2"/>
      </rPr>
      <t>経験者を年間</t>
    </r>
    <r>
      <rPr>
        <sz val="8"/>
        <color rgb="FF000000"/>
        <rFont val="Meiryo UI"/>
        <family val="2"/>
        <charset val="1"/>
      </rPr>
      <t>7</t>
    </r>
    <r>
      <rPr>
        <sz val="8"/>
        <color rgb="FF000000"/>
        <rFont val="Noto Sans CJK SC"/>
        <family val="2"/>
      </rPr>
      <t>名以上面談し、うち</t>
    </r>
    <r>
      <rPr>
        <sz val="8"/>
        <color rgb="FF000000"/>
        <rFont val="Meiryo UI"/>
        <family val="2"/>
        <charset val="1"/>
      </rPr>
      <t>3</t>
    </r>
    <r>
      <rPr>
        <sz val="8"/>
        <color rgb="FF000000"/>
        <rFont val="Noto Sans CJK SC"/>
        <family val="2"/>
      </rPr>
      <t>名以上の内定承諾に貢献</t>
    </r>
  </si>
  <si>
    <r>
      <rPr>
        <sz val="8"/>
        <color rgb="FF000000"/>
        <rFont val="Noto Sans CJK SC"/>
        <family val="2"/>
      </rPr>
      <t>・既存クライアント</t>
    </r>
    <r>
      <rPr>
        <sz val="8"/>
        <color rgb="FF000000"/>
        <rFont val="Meiryo UI"/>
        <family val="2"/>
        <charset val="1"/>
      </rPr>
      <t>3</t>
    </r>
    <r>
      <rPr>
        <sz val="8"/>
        <color rgb="FF000000"/>
        <rFont val="Noto Sans CJK SC"/>
        <family val="2"/>
      </rPr>
      <t>社において、</t>
    </r>
    <r>
      <rPr>
        <sz val="8"/>
        <color rgb="FF000000"/>
        <rFont val="Meiryo UI"/>
        <family val="2"/>
        <charset val="1"/>
      </rPr>
      <t>CFO</t>
    </r>
    <r>
      <rPr>
        <sz val="8"/>
        <color rgb="FF000000"/>
        <rFont val="Noto Sans CJK SC"/>
        <family val="2"/>
      </rPr>
      <t>または</t>
    </r>
    <r>
      <rPr>
        <sz val="8"/>
        <color rgb="FF000000"/>
        <rFont val="Meiryo UI"/>
        <family val="2"/>
        <charset val="1"/>
      </rPr>
      <t>M&amp;A</t>
    </r>
    <r>
      <rPr>
        <sz val="8"/>
        <color rgb="FF000000"/>
        <rFont val="Noto Sans CJK SC"/>
        <family val="2"/>
      </rPr>
      <t>責任者との四半期ごとの戦略対話を主導</t>
    </r>
  </si>
  <si>
    <r>
      <rPr>
        <sz val="8"/>
        <color rgb="FF000000"/>
        <rFont val="Noto Sans CJK SC"/>
        <family val="2"/>
      </rPr>
      <t>・</t>
    </r>
    <r>
      <rPr>
        <sz val="8"/>
        <color rgb="FF000000"/>
        <rFont val="Meiryo UI"/>
        <family val="2"/>
        <charset val="1"/>
      </rPr>
      <t>M&amp;A</t>
    </r>
    <r>
      <rPr>
        <sz val="8"/>
        <color rgb="FF000000"/>
        <rFont val="Noto Sans CJK SC"/>
        <family val="2"/>
      </rPr>
      <t>または事業再編ニーズを持つ新規クライアント</t>
    </r>
    <r>
      <rPr>
        <sz val="8"/>
        <color rgb="FF000000"/>
        <rFont val="Meiryo UI"/>
        <family val="2"/>
        <charset val="1"/>
      </rPr>
      <t>4</t>
    </r>
    <r>
      <rPr>
        <sz val="8"/>
        <color rgb="FF000000"/>
        <rFont val="Noto Sans CJK SC"/>
        <family val="2"/>
      </rPr>
      <t>社へのアプローチをリードし、うち</t>
    </r>
    <r>
      <rPr>
        <sz val="8"/>
        <color rgb="FF000000"/>
        <rFont val="Meiryo UI"/>
        <family val="2"/>
        <charset val="1"/>
      </rPr>
      <t>2</t>
    </r>
    <r>
      <rPr>
        <sz val="8"/>
        <color rgb="FF000000"/>
        <rFont val="Noto Sans CJK SC"/>
        <family val="2"/>
      </rPr>
      <t>社でパイロット案件を受注</t>
    </r>
  </si>
  <si>
    <r>
      <rPr>
        <sz val="8"/>
        <color rgb="FF000000"/>
        <rFont val="Noto Sans CJK SC"/>
        <family val="2"/>
      </rPr>
      <t>・コーポレートファイナンス手法に関する社内トレーニングを年</t>
    </r>
    <r>
      <rPr>
        <sz val="8"/>
        <color rgb="FF000000"/>
        <rFont val="Meiryo UI"/>
        <family val="2"/>
        <charset val="1"/>
      </rPr>
      <t>3</t>
    </r>
    <r>
      <rPr>
        <sz val="8"/>
        <color rgb="FF000000"/>
        <rFont val="Noto Sans CJK SC"/>
        <family val="2"/>
      </rPr>
      <t>回開催</t>
    </r>
  </si>
  <si>
    <r>
      <rPr>
        <sz val="8"/>
        <color rgb="FF000000"/>
        <rFont val="Noto Sans CJK SC"/>
        <family val="2"/>
      </rPr>
      <t>・</t>
    </r>
    <r>
      <rPr>
        <sz val="8"/>
        <color rgb="FF000000"/>
        <rFont val="Meiryo UI"/>
        <family val="2"/>
        <charset val="1"/>
      </rPr>
      <t>M&amp;A</t>
    </r>
    <r>
      <rPr>
        <sz val="8"/>
        <color rgb="FF000000"/>
        <rFont val="Noto Sans CJK SC"/>
        <family val="2"/>
      </rPr>
      <t>または事業戦略に関するホワイトペーパーを年</t>
    </r>
    <r>
      <rPr>
        <sz val="8"/>
        <color rgb="FF000000"/>
        <rFont val="Meiryo UI"/>
        <family val="2"/>
        <charset val="1"/>
      </rPr>
      <t>2</t>
    </r>
    <r>
      <rPr>
        <sz val="8"/>
        <color rgb="FF000000"/>
        <rFont val="Noto Sans CJK SC"/>
        <family val="2"/>
      </rPr>
      <t>本発信</t>
    </r>
  </si>
  <si>
    <r>
      <rPr>
        <sz val="8"/>
        <color rgb="FF000000"/>
        <rFont val="Noto Sans CJK SC"/>
        <family val="2"/>
      </rPr>
      <t>・ファイナンス系キャリアセミナーまたはネットワーキングイベントに</t>
    </r>
    <r>
      <rPr>
        <sz val="8"/>
        <color rgb="FF000000"/>
        <rFont val="Meiryo UI"/>
        <family val="2"/>
        <charset val="1"/>
      </rPr>
      <t>2</t>
    </r>
    <r>
      <rPr>
        <sz val="8"/>
        <color rgb="FF000000"/>
        <rFont val="Noto Sans CJK SC"/>
        <family val="2"/>
      </rPr>
      <t>回以上参画</t>
    </r>
  </si>
  <si>
    <r>
      <rPr>
        <sz val="8"/>
        <color rgb="FF000000"/>
        <rFont val="Noto Sans CJK SC"/>
        <family val="2"/>
      </rPr>
      <t>・</t>
    </r>
    <r>
      <rPr>
        <sz val="8"/>
        <color rgb="FF000000"/>
        <rFont val="Meiryo UI"/>
        <family val="2"/>
        <charset val="1"/>
      </rPr>
      <t>M&amp;A</t>
    </r>
    <r>
      <rPr>
        <sz val="8"/>
        <color rgb="FF000000"/>
        <rFont val="Noto Sans CJK SC"/>
        <family val="2"/>
      </rPr>
      <t>市場動向やバリュエーション手法に関する情報提供セッションを年</t>
    </r>
    <r>
      <rPr>
        <sz val="8"/>
        <color rgb="FF000000"/>
        <rFont val="Meiryo UI"/>
        <family val="2"/>
        <charset val="1"/>
      </rPr>
      <t>3</t>
    </r>
    <r>
      <rPr>
        <sz val="8"/>
        <color rgb="FF000000"/>
        <rFont val="Noto Sans CJK SC"/>
        <family val="2"/>
      </rPr>
      <t>回以上実施</t>
    </r>
  </si>
  <si>
    <r>
      <rPr>
        <sz val="8"/>
        <color rgb="FF000000"/>
        <rFont val="Noto Sans CJK SC"/>
        <family val="2"/>
      </rPr>
      <t>・デューデリジェンスや</t>
    </r>
    <r>
      <rPr>
        <sz val="8"/>
        <color rgb="FF000000"/>
        <rFont val="Meiryo UI"/>
        <family val="2"/>
        <charset val="1"/>
      </rPr>
      <t>PMI</t>
    </r>
    <r>
      <rPr>
        <sz val="8"/>
        <color rgb="FF000000"/>
        <rFont val="Noto Sans CJK SC"/>
        <family val="2"/>
      </rPr>
      <t>事例を活用した提案活動を四半期ごとに実施</t>
    </r>
  </si>
  <si>
    <r>
      <rPr>
        <sz val="8"/>
        <color rgb="FF000000"/>
        <rFont val="Noto Sans CJK SC"/>
        <family val="2"/>
      </rPr>
      <t>・</t>
    </r>
    <r>
      <rPr>
        <sz val="8"/>
        <color rgb="FF000000"/>
        <rFont val="Meiryo UI"/>
        <family val="2"/>
        <charset val="1"/>
      </rPr>
      <t>Practice</t>
    </r>
    <r>
      <rPr>
        <sz val="8"/>
        <color rgb="FF000000"/>
        <rFont val="Noto Sans CJK SC"/>
        <family val="2"/>
      </rPr>
      <t>内メンバー</t>
    </r>
    <r>
      <rPr>
        <sz val="8"/>
        <color rgb="FF000000"/>
        <rFont val="Meiryo UI"/>
        <family val="2"/>
        <charset val="1"/>
      </rPr>
      <t>3</t>
    </r>
    <r>
      <rPr>
        <sz val="8"/>
        <color rgb="FF000000"/>
        <rFont val="Noto Sans CJK SC"/>
        <family val="2"/>
      </rPr>
      <t>名以上に対する定期的なメンタリングを実施</t>
    </r>
  </si>
  <si>
    <r>
      <rPr>
        <sz val="8"/>
        <color rgb="FF000000"/>
        <rFont val="Noto Sans CJK SC"/>
        <family val="2"/>
      </rPr>
      <t>・</t>
    </r>
    <r>
      <rPr>
        <sz val="8"/>
        <color rgb="FF000000"/>
        <rFont val="Meiryo UI"/>
        <family val="2"/>
        <charset val="1"/>
      </rPr>
      <t>M&amp;A</t>
    </r>
    <r>
      <rPr>
        <sz val="8"/>
        <color rgb="FF000000"/>
        <rFont val="Noto Sans CJK SC"/>
        <family val="2"/>
      </rPr>
      <t>カンファレンスまたは経営フォーラムへの登壇を年</t>
    </r>
    <r>
      <rPr>
        <sz val="8"/>
        <color rgb="FF000000"/>
        <rFont val="Meiryo UI"/>
        <family val="2"/>
        <charset val="1"/>
      </rPr>
      <t>1</t>
    </r>
    <r>
      <rPr>
        <sz val="8"/>
        <color rgb="FF000000"/>
        <rFont val="Noto Sans CJK SC"/>
        <family val="2"/>
      </rPr>
      <t>回以上実施</t>
    </r>
  </si>
  <si>
    <t>北村 史郎</t>
  </si>
  <si>
    <t>吉田 卓史</t>
  </si>
  <si>
    <t>Cyber Securiy</t>
  </si>
  <si>
    <r>
      <rPr>
        <sz val="8"/>
        <color rgb="FF000000"/>
        <rFont val="Noto Sans CJK SC"/>
        <family val="2"/>
      </rPr>
      <t>・サイバーセキュリティ専門人材（</t>
    </r>
    <r>
      <rPr>
        <sz val="8"/>
        <color rgb="FF000000"/>
        <rFont val="Meiryo UI"/>
        <family val="2"/>
        <charset val="1"/>
      </rPr>
      <t>CISO</t>
    </r>
    <r>
      <rPr>
        <sz val="8"/>
        <color rgb="FF000000"/>
        <rFont val="Noto Sans CJK SC"/>
        <family val="2"/>
      </rPr>
      <t>、</t>
    </r>
    <r>
      <rPr>
        <sz val="8"/>
        <color rgb="FF000000"/>
        <rFont val="Meiryo UI"/>
        <family val="2"/>
        <charset val="1"/>
      </rPr>
      <t>SOC</t>
    </r>
    <r>
      <rPr>
        <sz val="8"/>
        <color rgb="FF000000"/>
        <rFont val="Noto Sans CJK SC"/>
        <family val="2"/>
      </rPr>
      <t>経験者等）を年間</t>
    </r>
    <r>
      <rPr>
        <sz val="8"/>
        <color rgb="FF000000"/>
        <rFont val="Meiryo UI"/>
        <family val="2"/>
        <charset val="1"/>
      </rPr>
      <t>7</t>
    </r>
    <r>
      <rPr>
        <sz val="8"/>
        <color rgb="FF000000"/>
        <rFont val="Noto Sans CJK SC"/>
        <family val="2"/>
      </rPr>
      <t>名以上面談し、うち</t>
    </r>
    <r>
      <rPr>
        <sz val="8"/>
        <color rgb="FF000000"/>
        <rFont val="Meiryo UI"/>
        <family val="2"/>
        <charset val="1"/>
      </rPr>
      <t>3</t>
    </r>
    <r>
      <rPr>
        <sz val="8"/>
        <color rgb="FF000000"/>
        <rFont val="Noto Sans CJK SC"/>
        <family val="2"/>
      </rPr>
      <t>名以上の内定承諾に貢献</t>
    </r>
  </si>
  <si>
    <r>
      <rPr>
        <sz val="8"/>
        <color rgb="FF000000"/>
        <rFont val="Noto Sans CJK SC"/>
        <family val="2"/>
      </rPr>
      <t>・新規クライアント含む</t>
    </r>
    <r>
      <rPr>
        <sz val="8"/>
        <color rgb="FF000000"/>
        <rFont val="Meiryo UI"/>
        <family val="2"/>
        <charset val="1"/>
      </rPr>
      <t>3</t>
    </r>
    <r>
      <rPr>
        <sz val="8"/>
        <color rgb="FF000000"/>
        <rFont val="Noto Sans CJK SC"/>
        <family val="2"/>
      </rPr>
      <t>社において、</t>
    </r>
    <r>
      <rPr>
        <sz val="8"/>
        <color rgb="FF000000"/>
        <rFont val="Meiryo UI"/>
        <family val="2"/>
        <charset val="1"/>
      </rPr>
      <t>CISO</t>
    </r>
    <r>
      <rPr>
        <sz val="8"/>
        <color rgb="FF000000"/>
        <rFont val="Noto Sans CJK SC"/>
        <family val="2"/>
      </rPr>
      <t>またはセキュリティ責任者との四半期ごとの戦略対話を主導</t>
    </r>
  </si>
  <si>
    <r>
      <rPr>
        <sz val="8"/>
        <color rgb="FF000000"/>
        <rFont val="Noto Sans CJK SC"/>
        <family val="2"/>
      </rPr>
      <t>・セキュリティ強化ニーズを持つ新規クライアント</t>
    </r>
    <r>
      <rPr>
        <sz val="8"/>
        <color rgb="FF000000"/>
        <rFont val="Meiryo UI"/>
        <family val="2"/>
        <charset val="1"/>
      </rPr>
      <t>4</t>
    </r>
    <r>
      <rPr>
        <sz val="8"/>
        <color rgb="FF000000"/>
        <rFont val="Noto Sans CJK SC"/>
        <family val="2"/>
      </rPr>
      <t>社へのアプローチをリードし、うち</t>
    </r>
    <r>
      <rPr>
        <sz val="8"/>
        <color rgb="FF000000"/>
        <rFont val="Meiryo UI"/>
        <family val="2"/>
        <charset val="1"/>
      </rPr>
      <t>2</t>
    </r>
    <r>
      <rPr>
        <sz val="8"/>
        <color rgb="FF000000"/>
        <rFont val="Noto Sans CJK SC"/>
        <family val="2"/>
      </rPr>
      <t>社でパイロット案件を受注</t>
    </r>
  </si>
  <si>
    <r>
      <rPr>
        <sz val="8"/>
        <color rgb="FF000000"/>
        <rFont val="Noto Sans CJK SC"/>
        <family val="2"/>
      </rPr>
      <t>・サイバーセキュリティガバナンスに関する社内トレーニングを年</t>
    </r>
    <r>
      <rPr>
        <sz val="8"/>
        <color rgb="FF000000"/>
        <rFont val="Meiryo UI"/>
        <family val="2"/>
        <charset val="1"/>
      </rPr>
      <t>3</t>
    </r>
    <r>
      <rPr>
        <sz val="8"/>
        <color rgb="FF000000"/>
        <rFont val="Noto Sans CJK SC"/>
        <family val="2"/>
      </rPr>
      <t>回開催</t>
    </r>
  </si>
  <si>
    <r>
      <rPr>
        <sz val="8"/>
        <color rgb="FF000000"/>
        <rFont val="Noto Sans CJK SC"/>
        <family val="2"/>
      </rPr>
      <t>・サイバーセキュリティ戦略またはゼロトラストアーキテクチャに関するホワイトペーパーを年</t>
    </r>
    <r>
      <rPr>
        <sz val="8"/>
        <color rgb="FF000000"/>
        <rFont val="Meiryo UI"/>
        <family val="2"/>
        <charset val="1"/>
      </rPr>
      <t>2</t>
    </r>
    <r>
      <rPr>
        <sz val="8"/>
        <color rgb="FF000000"/>
        <rFont val="Noto Sans CJK SC"/>
        <family val="2"/>
      </rPr>
      <t>本発信</t>
    </r>
  </si>
  <si>
    <r>
      <rPr>
        <sz val="8"/>
        <color rgb="FF000000"/>
        <rFont val="Noto Sans CJK SC"/>
        <family val="2"/>
      </rPr>
      <t>・セキュリティカンファレンスまたは採用セッションに</t>
    </r>
    <r>
      <rPr>
        <sz val="8"/>
        <color rgb="FF000000"/>
        <rFont val="Meiryo UI"/>
        <family val="2"/>
        <charset val="1"/>
      </rPr>
      <t>2</t>
    </r>
    <r>
      <rPr>
        <sz val="8"/>
        <color rgb="FF000000"/>
        <rFont val="Noto Sans CJK SC"/>
        <family val="2"/>
      </rPr>
      <t>回以上参画</t>
    </r>
  </si>
  <si>
    <r>
      <rPr>
        <sz val="8"/>
        <color rgb="FF000000"/>
        <rFont val="Noto Sans CJK SC"/>
        <family val="2"/>
      </rPr>
      <t>・サイバーセキュリティ脅威動向やガバナンス強化に関する情報提供セッションを年</t>
    </r>
    <r>
      <rPr>
        <sz val="8"/>
        <color rgb="FF000000"/>
        <rFont val="Meiryo UI"/>
        <family val="2"/>
        <charset val="1"/>
      </rPr>
      <t>6</t>
    </r>
    <r>
      <rPr>
        <sz val="8"/>
        <color rgb="FF000000"/>
        <rFont val="Noto Sans CJK SC"/>
        <family val="2"/>
      </rPr>
      <t>回以上実施</t>
    </r>
  </si>
  <si>
    <r>
      <rPr>
        <sz val="8"/>
        <color rgb="FF000000"/>
        <rFont val="Noto Sans CJK SC"/>
        <family val="2"/>
      </rPr>
      <t>・グローバルセキュリティ体制構築事例や</t>
    </r>
    <r>
      <rPr>
        <sz val="8"/>
        <color rgb="FF000000"/>
        <rFont val="Meiryo UI"/>
        <family val="2"/>
        <charset val="1"/>
      </rPr>
      <t>SOC</t>
    </r>
    <r>
      <rPr>
        <sz val="8"/>
        <color rgb="FF000000"/>
        <rFont val="Noto Sans CJK SC"/>
        <family val="2"/>
      </rPr>
      <t>立ち上げ実績を活用した提案活動を実施</t>
    </r>
  </si>
  <si>
    <r>
      <rPr>
        <sz val="8"/>
        <color rgb="FF000000"/>
        <rFont val="Noto Sans CJK SC"/>
        <family val="2"/>
      </rPr>
      <t>・</t>
    </r>
    <r>
      <rPr>
        <sz val="8"/>
        <color rgb="FF000000"/>
        <rFont val="Meiryo UI"/>
        <family val="2"/>
        <charset val="1"/>
      </rPr>
      <t>Practice</t>
    </r>
    <r>
      <rPr>
        <sz val="8"/>
        <color rgb="FF000000"/>
        <rFont val="Noto Sans CJK SC"/>
        <family val="2"/>
      </rPr>
      <t>内メンバー</t>
    </r>
    <r>
      <rPr>
        <sz val="8"/>
        <color rgb="FF000000"/>
        <rFont val="Meiryo UI"/>
        <family val="2"/>
        <charset val="1"/>
      </rPr>
      <t>3</t>
    </r>
    <r>
      <rPr>
        <sz val="8"/>
        <color rgb="FF000000"/>
        <rFont val="Noto Sans CJK SC"/>
        <family val="2"/>
      </rPr>
      <t>名以上に対する定期的なメンタリングとスキル育成を実施</t>
    </r>
  </si>
  <si>
    <r>
      <rPr>
        <sz val="8"/>
        <color rgb="FF000000"/>
        <rFont val="Noto Sans CJK SC"/>
        <family val="2"/>
      </rPr>
      <t>・セキュリティカンファレンスへの登壇を年</t>
    </r>
    <r>
      <rPr>
        <sz val="8"/>
        <color rgb="FF000000"/>
        <rFont val="Meiryo UI"/>
        <family val="2"/>
        <charset val="1"/>
      </rPr>
      <t>2</t>
    </r>
    <r>
      <rPr>
        <sz val="8"/>
        <color rgb="FF000000"/>
        <rFont val="Noto Sans CJK SC"/>
        <family val="2"/>
      </rPr>
      <t>回以上実施し、</t>
    </r>
    <r>
      <rPr>
        <sz val="8"/>
        <color rgb="FF000000"/>
        <rFont val="Meiryo UI"/>
        <family val="2"/>
        <charset val="1"/>
      </rPr>
      <t>Practice Leader</t>
    </r>
    <r>
      <rPr>
        <sz val="8"/>
        <color rgb="FF000000"/>
        <rFont val="Noto Sans CJK SC"/>
        <family val="2"/>
      </rPr>
      <t>としてのプレゼンスを確立</t>
    </r>
  </si>
  <si>
    <t>玉井 俊行</t>
  </si>
  <si>
    <t>高橋 聖</t>
  </si>
  <si>
    <r>
      <rPr>
        <sz val="8"/>
        <color rgb="FF000000"/>
        <rFont val="Meiryo UI"/>
        <family val="3"/>
        <charset val="128"/>
      </rPr>
      <t>AI</t>
    </r>
    <r>
      <rPr>
        <sz val="8"/>
        <color rgb="FF000000"/>
        <rFont val="Noto Sans CJK SC"/>
        <family val="2"/>
      </rPr>
      <t>＆</t>
    </r>
    <r>
      <rPr>
        <sz val="8"/>
        <color rgb="FF000000"/>
        <rFont val="Meiryo UI"/>
        <family val="3"/>
        <charset val="128"/>
      </rPr>
      <t>Data</t>
    </r>
  </si>
  <si>
    <t>上瀬 剛</t>
  </si>
  <si>
    <t>齋地 禎昭</t>
  </si>
  <si>
    <t>大塩 大輔</t>
  </si>
  <si>
    <r>
      <rPr>
        <b/>
        <sz val="11"/>
        <rFont val="游ゴシック"/>
        <family val="3"/>
        <charset val="128"/>
      </rPr>
      <t>FY27 MDD</t>
    </r>
    <r>
      <rPr>
        <b/>
        <sz val="11"/>
        <rFont val="Noto Sans CJK SC"/>
        <family val="2"/>
      </rPr>
      <t>目標設定：論点・確認事項一覧</t>
    </r>
  </si>
  <si>
    <t>対象者</t>
  </si>
  <si>
    <t>BP</t>
  </si>
  <si>
    <t>論点・確認事項</t>
  </si>
  <si>
    <t>あり</t>
  </si>
  <si>
    <r>
      <rPr>
        <sz val="9"/>
        <rFont val="Noto Sans CJK SC"/>
        <family val="2"/>
      </rPr>
      <t>・近藤さん退職のため</t>
    </r>
    <r>
      <rPr>
        <sz val="9"/>
        <rFont val="游ゴシック"/>
        <family val="3"/>
        <charset val="128"/>
      </rPr>
      <t>PL</t>
    </r>
    <r>
      <rPr>
        <sz val="9"/>
        <rFont val="Noto Sans CJK SC"/>
        <family val="2"/>
      </rPr>
      <t>として整理</t>
    </r>
  </si>
  <si>
    <r>
      <rPr>
        <sz val="9"/>
        <rFont val="Noto Sans CJK SC"/>
        <family val="2"/>
      </rPr>
      <t>・</t>
    </r>
    <r>
      <rPr>
        <sz val="9"/>
        <rFont val="游ゴシック"/>
        <family val="3"/>
        <charset val="128"/>
      </rPr>
      <t>FY26</t>
    </r>
    <r>
      <rPr>
        <sz val="9"/>
        <rFont val="Noto Sans CJK SC"/>
        <family val="2"/>
      </rPr>
      <t>シートの</t>
    </r>
    <r>
      <rPr>
        <sz val="9"/>
        <rFont val="游ゴシック"/>
        <family val="3"/>
        <charset val="128"/>
      </rPr>
      <t>300/600/850</t>
    </r>
    <r>
      <rPr>
        <sz val="9"/>
        <rFont val="Noto Sans CJK SC"/>
        <family val="2"/>
      </rPr>
      <t>は髙橋敦さんの</t>
    </r>
    <r>
      <rPr>
        <sz val="9"/>
        <rFont val="游ゴシック"/>
        <family val="3"/>
        <charset val="128"/>
      </rPr>
      <t>Auto</t>
    </r>
    <r>
      <rPr>
        <sz val="9"/>
        <rFont val="Noto Sans CJK SC"/>
        <family val="2"/>
      </rPr>
      <t>分を合算した経緯によるもの
・</t>
    </r>
    <r>
      <rPr>
        <sz val="9"/>
        <rFont val="游ゴシック"/>
        <family val="3"/>
        <charset val="128"/>
      </rPr>
      <t>FY27</t>
    </r>
    <r>
      <rPr>
        <sz val="9"/>
        <rFont val="Noto Sans CJK SC"/>
        <family val="2"/>
      </rPr>
      <t>からは</t>
    </r>
    <r>
      <rPr>
        <sz val="9"/>
        <rFont val="游ゴシック"/>
        <family val="3"/>
        <charset val="128"/>
      </rPr>
      <t>Auto/Construction</t>
    </r>
    <r>
      <rPr>
        <sz val="9"/>
        <rFont val="Noto Sans CJK SC"/>
        <family val="2"/>
      </rPr>
      <t>が分割済みのため、単体の</t>
    </r>
    <r>
      <rPr>
        <sz val="9"/>
        <rFont val="游ゴシック"/>
        <family val="3"/>
        <charset val="128"/>
      </rPr>
      <t>BP</t>
    </r>
    <r>
      <rPr>
        <sz val="9"/>
        <rFont val="Noto Sans CJK SC"/>
        <family val="2"/>
      </rPr>
      <t>値</t>
    </r>
    <r>
      <rPr>
        <sz val="9"/>
        <rFont val="游ゴシック"/>
        <family val="3"/>
        <charset val="128"/>
      </rPr>
      <t>200/400/600</t>
    </r>
    <r>
      <rPr>
        <sz val="9"/>
        <rFont val="Noto Sans CJK SC"/>
        <family val="2"/>
      </rPr>
      <t>に変更（</t>
    </r>
    <r>
      <rPr>
        <sz val="9"/>
        <rFont val="游ゴシック"/>
        <family val="3"/>
        <charset val="128"/>
      </rPr>
      <t>FY27=317</t>
    </r>
    <r>
      <rPr>
        <sz val="9"/>
        <rFont val="Noto Sans CJK SC"/>
        <family val="2"/>
      </rPr>
      <t>）</t>
    </r>
  </si>
  <si>
    <r>
      <rPr>
        <sz val="9"/>
        <rFont val="Noto Sans CJK SC"/>
        <family val="2"/>
      </rPr>
      <t>・</t>
    </r>
    <r>
      <rPr>
        <sz val="9"/>
        <rFont val="游ゴシック"/>
        <family val="3"/>
        <charset val="128"/>
      </rPr>
      <t>BP</t>
    </r>
    <r>
      <rPr>
        <sz val="9"/>
        <rFont val="Noto Sans CJK SC"/>
        <family val="2"/>
      </rPr>
      <t>に売上数値の記載がない（テンプレートのまま）ため、標準</t>
    </r>
    <r>
      <rPr>
        <sz val="9"/>
        <rFont val="游ゴシック"/>
        <family val="3"/>
        <charset val="128"/>
      </rPr>
      <t>2/4/6</t>
    </r>
    <r>
      <rPr>
        <sz val="9"/>
        <rFont val="Noto Sans CJK SC"/>
        <family val="2"/>
      </rPr>
      <t>億を仮置き（</t>
    </r>
    <r>
      <rPr>
        <sz val="9"/>
        <rFont val="游ゴシック"/>
        <family val="3"/>
        <charset val="128"/>
      </rPr>
      <t>FY27=267</t>
    </r>
    <r>
      <rPr>
        <sz val="9"/>
        <rFont val="Noto Sans CJK SC"/>
        <family val="2"/>
      </rPr>
      <t>）
・本人に数値を確認するか、標準値で確定するか</t>
    </r>
  </si>
  <si>
    <r>
      <rPr>
        <sz val="9"/>
        <rFont val="Noto Sans CJK SC"/>
        <family val="2"/>
      </rPr>
      <t>・</t>
    </r>
    <r>
      <rPr>
        <sz val="9"/>
        <rFont val="游ゴシック"/>
        <family val="3"/>
        <charset val="128"/>
      </rPr>
      <t>BP</t>
    </r>
    <r>
      <rPr>
        <sz val="9"/>
        <rFont val="Noto Sans CJK SC"/>
        <family val="2"/>
      </rPr>
      <t>の建設・不動産ユニット（</t>
    </r>
    <r>
      <rPr>
        <sz val="9"/>
        <rFont val="游ゴシック"/>
        <family val="3"/>
        <charset val="128"/>
      </rPr>
      <t>50/150/250</t>
    </r>
    <r>
      <rPr>
        <sz val="9"/>
        <rFont val="Noto Sans CJK SC"/>
        <family val="2"/>
      </rPr>
      <t>）を厳密に適用すると</t>
    </r>
    <r>
      <rPr>
        <sz val="9"/>
        <rFont val="游ゴシック"/>
        <family val="3"/>
        <charset val="128"/>
      </rPr>
      <t>FY27</t>
    </r>
    <r>
      <rPr>
        <sz val="9"/>
        <rFont val="Noto Sans CJK SC"/>
        <family val="2"/>
      </rPr>
      <t>グロス</t>
    </r>
    <r>
      <rPr>
        <sz val="9"/>
        <rFont val="游ゴシック"/>
        <family val="3"/>
        <charset val="128"/>
      </rPr>
      <t>133</t>
    </r>
    <r>
      <rPr>
        <sz val="9"/>
        <rFont val="Noto Sans CJK SC"/>
        <family val="2"/>
      </rPr>
      <t>＜</t>
    </r>
    <r>
      <rPr>
        <sz val="9"/>
        <rFont val="游ゴシック"/>
        <family val="3"/>
        <charset val="128"/>
      </rPr>
      <t>SC275</t>
    </r>
    <r>
      <rPr>
        <sz val="9"/>
        <rFont val="Noto Sans CJK SC"/>
        <family val="2"/>
      </rPr>
      <t>の逆転が発生（</t>
    </r>
    <r>
      <rPr>
        <sz val="9"/>
        <rFont val="游ゴシック"/>
        <family val="3"/>
        <charset val="128"/>
      </rPr>
      <t>BP</t>
    </r>
    <r>
      <rPr>
        <sz val="9"/>
        <rFont val="Noto Sans CJK SC"/>
        <family val="2"/>
      </rPr>
      <t>の個人売上は</t>
    </r>
    <r>
      <rPr>
        <sz val="9"/>
        <rFont val="游ゴシック"/>
        <family val="3"/>
        <charset val="128"/>
      </rPr>
      <t>Auto</t>
    </r>
    <r>
      <rPr>
        <sz val="9"/>
        <rFont val="Noto Sans CJK SC"/>
        <family val="2"/>
      </rPr>
      <t>等の他プラクティス分を含むため）
・グロスを建設ユニット値のままとするか、「他プラクティスへの</t>
    </r>
    <r>
      <rPr>
        <sz val="9"/>
        <rFont val="游ゴシック"/>
        <family val="3"/>
        <charset val="128"/>
      </rPr>
      <t>SC</t>
    </r>
    <r>
      <rPr>
        <sz val="9"/>
        <rFont val="Noto Sans CJK SC"/>
        <family val="2"/>
      </rPr>
      <t>」と整理して別の置き方をするか</t>
    </r>
  </si>
  <si>
    <t>-</t>
  </si>
  <si>
    <r>
      <rPr>
        <sz val="9"/>
        <rFont val="Noto Sans CJK SC"/>
        <family val="2"/>
      </rPr>
      <t>・</t>
    </r>
    <r>
      <rPr>
        <sz val="9"/>
        <rFont val="游ゴシック"/>
        <family val="3"/>
        <charset val="128"/>
      </rPr>
      <t>BP</t>
    </r>
    <r>
      <rPr>
        <sz val="9"/>
        <rFont val="Noto Sans CJK SC"/>
        <family val="2"/>
      </rPr>
      <t>の</t>
    </r>
    <r>
      <rPr>
        <sz val="9"/>
        <rFont val="游ゴシック"/>
        <family val="3"/>
        <charset val="128"/>
      </rPr>
      <t>4</t>
    </r>
    <r>
      <rPr>
        <sz val="9"/>
        <rFont val="Noto Sans CJK SC"/>
        <family val="2"/>
      </rPr>
      <t>億</t>
    </r>
    <r>
      <rPr>
        <sz val="9"/>
        <rFont val="游ゴシック"/>
        <family val="3"/>
        <charset val="128"/>
      </rPr>
      <t>/6</t>
    </r>
    <r>
      <rPr>
        <sz val="9"/>
        <rFont val="Noto Sans CJK SC"/>
        <family val="2"/>
      </rPr>
      <t>億はユニット売上。本人売上は各年</t>
    </r>
    <r>
      <rPr>
        <sz val="9"/>
        <rFont val="游ゴシック"/>
        <family val="3"/>
        <charset val="128"/>
      </rPr>
      <t>2</t>
    </r>
    <r>
      <rPr>
        <sz val="9"/>
        <rFont val="Noto Sans CJK SC"/>
        <family val="2"/>
      </rPr>
      <t>億のため</t>
    </r>
    <r>
      <rPr>
        <sz val="9"/>
        <rFont val="游ゴシック"/>
        <family val="3"/>
        <charset val="128"/>
      </rPr>
      <t>200/200/200</t>
    </r>
    <r>
      <rPr>
        <sz val="9"/>
        <rFont val="Noto Sans CJK SC"/>
        <family val="2"/>
      </rPr>
      <t>に変更（</t>
    </r>
    <r>
      <rPr>
        <sz val="9"/>
        <rFont val="游ゴシック"/>
        <family val="3"/>
        <charset val="128"/>
      </rPr>
      <t>FY27=200</t>
    </r>
    <r>
      <rPr>
        <sz val="9"/>
        <rFont val="Noto Sans CJK SC"/>
        <family val="2"/>
      </rPr>
      <t>）</t>
    </r>
  </si>
  <si>
    <t>なし</t>
  </si>
  <si>
    <r>
      <rPr>
        <sz val="9"/>
        <rFont val="Noto Sans CJK SC"/>
        <family val="2"/>
      </rPr>
      <t>・</t>
    </r>
    <r>
      <rPr>
        <sz val="9"/>
        <rFont val="游ゴシック"/>
        <family val="3"/>
        <charset val="128"/>
      </rPr>
      <t>Public</t>
    </r>
    <r>
      <rPr>
        <sz val="9"/>
        <rFont val="Noto Sans CJK SC"/>
        <family val="2"/>
      </rPr>
      <t>の</t>
    </r>
    <r>
      <rPr>
        <sz val="9"/>
        <rFont val="游ゴシック"/>
        <family val="3"/>
        <charset val="128"/>
      </rPr>
      <t>PL</t>
    </r>
    <r>
      <rPr>
        <sz val="9"/>
        <rFont val="Noto Sans CJK SC"/>
        <family val="2"/>
      </rPr>
      <t>は石川さんであったが大塩さんで整理
・</t>
    </r>
    <r>
      <rPr>
        <sz val="9"/>
        <rFont val="游ゴシック"/>
        <family val="3"/>
        <charset val="128"/>
      </rPr>
      <t>BP</t>
    </r>
    <r>
      <rPr>
        <sz val="9"/>
        <rFont val="Noto Sans CJK SC"/>
        <family val="2"/>
      </rPr>
      <t>がないため標準</t>
    </r>
    <r>
      <rPr>
        <sz val="9"/>
        <rFont val="游ゴシック"/>
        <family val="3"/>
        <charset val="128"/>
      </rPr>
      <t>2/4/6</t>
    </r>
    <r>
      <rPr>
        <sz val="9"/>
        <rFont val="Noto Sans CJK SC"/>
        <family val="2"/>
      </rPr>
      <t>億で設定（</t>
    </r>
    <r>
      <rPr>
        <sz val="9"/>
        <rFont val="游ゴシック"/>
        <family val="3"/>
        <charset val="128"/>
      </rPr>
      <t>FY27=250</t>
    </r>
    <r>
      <rPr>
        <sz val="9"/>
        <rFont val="Noto Sans CJK SC"/>
        <family val="2"/>
      </rPr>
      <t>）</t>
    </r>
  </si>
  <si>
    <r>
      <rPr>
        <sz val="9"/>
        <rFont val="Noto Sans CJK SC"/>
        <family val="2"/>
      </rPr>
      <t>・</t>
    </r>
    <r>
      <rPr>
        <sz val="9"/>
        <rFont val="游ゴシック"/>
        <family val="3"/>
        <charset val="128"/>
      </rPr>
      <t>FY27</t>
    </r>
    <r>
      <rPr>
        <sz val="9"/>
        <rFont val="Noto Sans CJK SC"/>
        <family val="2"/>
      </rPr>
      <t>は大塩さん（</t>
    </r>
    <r>
      <rPr>
        <sz val="9"/>
        <rFont val="游ゴシック"/>
        <family val="3"/>
        <charset val="128"/>
      </rPr>
      <t>MD</t>
    </r>
    <r>
      <rPr>
        <sz val="9"/>
        <rFont val="Noto Sans CJK SC"/>
        <family val="2"/>
      </rPr>
      <t>）着任により</t>
    </r>
    <r>
      <rPr>
        <sz val="9"/>
        <rFont val="游ゴシック"/>
        <family val="3"/>
        <charset val="128"/>
      </rPr>
      <t>PL</t>
    </r>
    <r>
      <rPr>
        <sz val="9"/>
        <rFont val="Noto Sans CJK SC"/>
        <family val="2"/>
      </rPr>
      <t>対象外に変更。評価ウェイトも</t>
    </r>
    <r>
      <rPr>
        <sz val="9"/>
        <rFont val="游ゴシック"/>
        <family val="3"/>
        <charset val="128"/>
      </rPr>
      <t>AL</t>
    </r>
    <r>
      <rPr>
        <sz val="9"/>
        <rFont val="Noto Sans CJK SC"/>
        <family val="2"/>
      </rPr>
      <t>＋個人型に変更済み</t>
    </r>
  </si>
  <si>
    <r>
      <rPr>
        <sz val="9"/>
        <rFont val="Noto Sans CJK SC"/>
        <family val="2"/>
      </rPr>
      <t>・</t>
    </r>
    <r>
      <rPr>
        <sz val="9"/>
        <rFont val="游ゴシック"/>
        <family val="3"/>
        <charset val="128"/>
      </rPr>
      <t>BP</t>
    </r>
    <r>
      <rPr>
        <sz val="9"/>
        <rFont val="Noto Sans CJK SC"/>
        <family val="2"/>
      </rPr>
      <t>がないため標準</t>
    </r>
    <r>
      <rPr>
        <sz val="9"/>
        <rFont val="游ゴシック"/>
        <family val="3"/>
        <charset val="128"/>
      </rPr>
      <t>2/4/6</t>
    </r>
    <r>
      <rPr>
        <sz val="9"/>
        <rFont val="Noto Sans CJK SC"/>
        <family val="2"/>
      </rPr>
      <t>億で設定（</t>
    </r>
    <r>
      <rPr>
        <sz val="9"/>
        <rFont val="游ゴシック"/>
        <family val="3"/>
        <charset val="128"/>
      </rPr>
      <t>FY27=300</t>
    </r>
    <r>
      <rPr>
        <sz val="9"/>
        <rFont val="Noto Sans CJK SC"/>
        <family val="2"/>
      </rPr>
      <t>）</t>
    </r>
  </si>
  <si>
    <r>
      <rPr>
        <sz val="9"/>
        <rFont val="Noto Sans CJK SC"/>
        <family val="2"/>
      </rPr>
      <t>・</t>
    </r>
    <r>
      <rPr>
        <sz val="9"/>
        <rFont val="游ゴシック"/>
        <family val="3"/>
        <charset val="128"/>
      </rPr>
      <t>BP</t>
    </r>
    <r>
      <rPr>
        <sz val="9"/>
        <rFont val="Noto Sans CJK SC"/>
        <family val="2"/>
      </rPr>
      <t>の</t>
    </r>
    <r>
      <rPr>
        <sz val="9"/>
        <rFont val="游ゴシック"/>
        <family val="3"/>
        <charset val="128"/>
      </rPr>
      <t>353/1291/1528</t>
    </r>
    <r>
      <rPr>
        <sz val="9"/>
        <rFont val="Noto Sans CJK SC"/>
        <family val="2"/>
      </rPr>
      <t>は入社時期を織り込んだ期間表記のため、そのまま採用</t>
    </r>
  </si>
  <si>
    <r>
      <rPr>
        <sz val="9"/>
        <rFont val="Noto Sans CJK SC"/>
        <family val="2"/>
      </rPr>
      <t>・コーポレート兼務のため標準値の半分とし、</t>
    </r>
    <r>
      <rPr>
        <sz val="9"/>
        <rFont val="游ゴシック"/>
        <family val="3"/>
        <charset val="128"/>
      </rPr>
      <t>FY26=200</t>
    </r>
    <r>
      <rPr>
        <sz val="9"/>
        <rFont val="Noto Sans CJK SC"/>
        <family val="2"/>
      </rPr>
      <t>・</t>
    </r>
    <r>
      <rPr>
        <sz val="9"/>
        <rFont val="游ゴシック"/>
        <family val="3"/>
        <charset val="128"/>
      </rPr>
      <t>FY27=300</t>
    </r>
    <r>
      <rPr>
        <sz val="9"/>
        <rFont val="Noto Sans CJK SC"/>
        <family val="2"/>
      </rPr>
      <t>で設定
・</t>
    </r>
    <r>
      <rPr>
        <sz val="9"/>
        <rFont val="游ゴシック"/>
        <family val="3"/>
        <charset val="128"/>
      </rPr>
      <t>FY28</t>
    </r>
    <r>
      <rPr>
        <sz val="9"/>
        <rFont val="Noto Sans CJK SC"/>
        <family val="2"/>
      </rPr>
      <t>分をどう置くか（現状未設定）</t>
    </r>
  </si>
  <si>
    <r>
      <rPr>
        <sz val="9"/>
        <rFont val="Noto Sans CJK SC"/>
        <family val="2"/>
      </rPr>
      <t>・</t>
    </r>
    <r>
      <rPr>
        <sz val="9"/>
        <rFont val="游ゴシック"/>
        <family val="3"/>
        <charset val="128"/>
      </rPr>
      <t>BP</t>
    </r>
    <r>
      <rPr>
        <sz val="9"/>
        <rFont val="Noto Sans CJK SC"/>
        <family val="2"/>
      </rPr>
      <t>の</t>
    </r>
    <r>
      <rPr>
        <sz val="9"/>
        <rFont val="游ゴシック"/>
        <family val="3"/>
        <charset val="128"/>
      </rPr>
      <t>FY26/27/28</t>
    </r>
    <r>
      <rPr>
        <sz val="9"/>
        <rFont val="Noto Sans CJK SC"/>
        <family val="2"/>
      </rPr>
      <t>表記は入社</t>
    </r>
    <r>
      <rPr>
        <sz val="9"/>
        <rFont val="游ゴシック"/>
        <family val="3"/>
        <charset val="128"/>
      </rPr>
      <t>1/2/3</t>
    </r>
    <r>
      <rPr>
        <sz val="9"/>
        <rFont val="Noto Sans CJK SC"/>
        <family val="2"/>
      </rPr>
      <t>年目として扱う（</t>
    </r>
    <r>
      <rPr>
        <sz val="9"/>
        <rFont val="游ゴシック"/>
        <family val="3"/>
        <charset val="128"/>
      </rPr>
      <t>2025/3</t>
    </r>
    <r>
      <rPr>
        <sz val="9"/>
        <rFont val="Noto Sans CJK SC"/>
        <family val="2"/>
      </rPr>
      <t>起点で</t>
    </r>
    <r>
      <rPr>
        <sz val="9"/>
        <rFont val="游ゴシック"/>
        <family val="3"/>
        <charset val="128"/>
      </rPr>
      <t>150/400/1000</t>
    </r>
    <r>
      <rPr>
        <sz val="9"/>
        <rFont val="Noto Sans CJK SC"/>
        <family val="2"/>
      </rPr>
      <t>）
・</t>
    </r>
    <r>
      <rPr>
        <sz val="9"/>
        <rFont val="游ゴシック"/>
        <family val="3"/>
        <charset val="128"/>
      </rPr>
      <t>FY27=650</t>
    </r>
    <r>
      <rPr>
        <sz val="9"/>
        <rFont val="Noto Sans CJK SC"/>
        <family val="2"/>
      </rPr>
      <t>。</t>
    </r>
    <r>
      <rPr>
        <sz val="9"/>
        <rFont val="游ゴシック"/>
        <family val="3"/>
        <charset val="128"/>
      </rPr>
      <t>FY26</t>
    </r>
    <r>
      <rPr>
        <sz val="9"/>
        <rFont val="Noto Sans CJK SC"/>
        <family val="2"/>
      </rPr>
      <t>計</t>
    </r>
    <r>
      <rPr>
        <sz val="9"/>
        <rFont val="游ゴシック"/>
        <family val="3"/>
        <charset val="128"/>
      </rPr>
      <t>254</t>
    </r>
    <r>
      <rPr>
        <sz val="9"/>
        <rFont val="Noto Sans CJK SC"/>
        <family val="2"/>
      </rPr>
      <t>は</t>
    </r>
    <r>
      <rPr>
        <sz val="9"/>
        <rFont val="游ゴシック"/>
        <family val="3"/>
        <charset val="128"/>
      </rPr>
      <t>FY26</t>
    </r>
    <r>
      <rPr>
        <sz val="9"/>
        <rFont val="Noto Sans CJK SC"/>
        <family val="2"/>
      </rPr>
      <t>アーカイブと整合</t>
    </r>
  </si>
  <si>
    <t>中澤 可武</t>
  </si>
  <si>
    <r>
      <rPr>
        <sz val="9"/>
        <rFont val="Noto Sans CJK SC"/>
        <family val="2"/>
      </rPr>
      <t>・入社日が未確定のため</t>
    </r>
    <r>
      <rPr>
        <sz val="9"/>
        <rFont val="游ゴシック"/>
        <family val="3"/>
        <charset val="128"/>
      </rPr>
      <t>2026/8/1</t>
    </r>
    <r>
      <rPr>
        <sz val="9"/>
        <rFont val="Noto Sans CJK SC"/>
        <family val="2"/>
      </rPr>
      <t>と仮置き（評価期間</t>
    </r>
    <r>
      <rPr>
        <sz val="9"/>
        <rFont val="游ゴシック"/>
        <family val="3"/>
        <charset val="128"/>
      </rPr>
      <t>12</t>
    </r>
    <r>
      <rPr>
        <sz val="9"/>
        <rFont val="Noto Sans CJK SC"/>
        <family val="2"/>
      </rPr>
      <t>カ月）
・確定後に月次バックデータ</t>
    </r>
    <r>
      <rPr>
        <sz val="9"/>
        <rFont val="游ゴシック"/>
        <family val="3"/>
        <charset val="128"/>
      </rPr>
      <t>G</t>
    </r>
    <r>
      <rPr>
        <sz val="9"/>
        <rFont val="Noto Sans CJK SC"/>
        <family val="2"/>
      </rPr>
      <t>列と目標設定シート</t>
    </r>
    <r>
      <rPr>
        <sz val="9"/>
        <rFont val="游ゴシック"/>
        <family val="3"/>
        <charset val="128"/>
      </rPr>
      <t>C</t>
    </r>
    <r>
      <rPr>
        <sz val="9"/>
        <rFont val="Noto Sans CJK SC"/>
        <family val="2"/>
      </rPr>
      <t>列を更新する</t>
    </r>
  </si>
  <si>
    <r>
      <rPr>
        <sz val="9"/>
        <rFont val="Noto Sans CJK SC"/>
        <family val="2"/>
      </rPr>
      <t>（全体）</t>
    </r>
    <r>
      <rPr>
        <sz val="9"/>
        <rFont val="游ゴシック"/>
        <family val="3"/>
        <charset val="128"/>
      </rPr>
      <t>Managed Revenue</t>
    </r>
  </si>
  <si>
    <r>
      <rPr>
        <sz val="9"/>
        <rFont val="Noto Sans CJK SC"/>
        <family val="2"/>
      </rPr>
      <t>・目標設定上は</t>
    </r>
    <r>
      <rPr>
        <sz val="9"/>
        <rFont val="游ゴシック"/>
        <family val="3"/>
        <charset val="128"/>
      </rPr>
      <t>MR</t>
    </r>
    <r>
      <rPr>
        <sz val="9"/>
        <rFont val="Noto Sans CJK SC"/>
        <family val="2"/>
      </rPr>
      <t>＝</t>
    </r>
    <r>
      <rPr>
        <sz val="9"/>
        <rFont val="游ゴシック"/>
        <family val="3"/>
        <charset val="128"/>
      </rPr>
      <t>SC</t>
    </r>
    <r>
      <rPr>
        <sz val="9"/>
        <rFont val="Noto Sans CJK SC"/>
        <family val="2"/>
      </rPr>
      <t>と同額（全員</t>
    </r>
    <r>
      <rPr>
        <sz val="9"/>
        <rFont val="游ゴシック"/>
        <family val="3"/>
        <charset val="128"/>
      </rPr>
      <t>W</t>
    </r>
    <r>
      <rPr>
        <sz val="9"/>
        <rFont val="Noto Sans CJK SC"/>
        <family val="2"/>
      </rPr>
      <t>列</t>
    </r>
    <r>
      <rPr>
        <sz val="9"/>
        <rFont val="游ゴシック"/>
        <family val="3"/>
        <charset val="128"/>
      </rPr>
      <t>=V</t>
    </r>
    <r>
      <rPr>
        <sz val="9"/>
        <rFont val="Noto Sans CJK SC"/>
        <family val="2"/>
      </rPr>
      <t>列）。</t>
    </r>
    <r>
      <rPr>
        <sz val="9"/>
        <rFont val="游ゴシック"/>
        <family val="3"/>
        <charset val="128"/>
      </rPr>
      <t>FY26</t>
    </r>
    <r>
      <rPr>
        <sz val="9"/>
        <rFont val="Noto Sans CJK SC"/>
        <family val="2"/>
      </rPr>
      <t>の目標設定の運用を踏襲
・評価プロセス説明会</t>
    </r>
    <r>
      <rPr>
        <sz val="9"/>
        <rFont val="游ゴシック"/>
        <family val="3"/>
        <charset val="128"/>
      </rPr>
      <t>(p52)</t>
    </r>
    <r>
      <rPr>
        <sz val="9"/>
        <rFont val="Noto Sans CJK SC"/>
        <family val="2"/>
      </rPr>
      <t>の定義では、</t>
    </r>
    <r>
      <rPr>
        <sz val="9"/>
        <rFont val="游ゴシック"/>
        <family val="3"/>
        <charset val="128"/>
      </rPr>
      <t>MR</t>
    </r>
    <r>
      <rPr>
        <sz val="9"/>
        <rFont val="Noto Sans CJK SC"/>
        <family val="2"/>
      </rPr>
      <t>は「品質責任者が担当する</t>
    </r>
    <r>
      <rPr>
        <sz val="9"/>
        <rFont val="游ゴシック"/>
        <family val="3"/>
        <charset val="128"/>
      </rPr>
      <t>PJ</t>
    </r>
    <r>
      <rPr>
        <sz val="9"/>
        <rFont val="Noto Sans CJK SC"/>
        <family val="2"/>
      </rPr>
      <t>の受注額合計」（案件単位で</t>
    </r>
    <r>
      <rPr>
        <sz val="9"/>
        <rFont val="游ゴシック"/>
        <family val="3"/>
        <charset val="128"/>
      </rPr>
      <t>1</t>
    </r>
    <r>
      <rPr>
        <sz val="9"/>
        <rFont val="Noto Sans CJK SC"/>
        <family val="2"/>
      </rPr>
      <t>名に</t>
    </r>
    <r>
      <rPr>
        <sz val="9"/>
        <rFont val="游ゴシック"/>
        <family val="3"/>
        <charset val="128"/>
      </rPr>
      <t>100%</t>
    </r>
    <r>
      <rPr>
        <sz val="9"/>
        <rFont val="Noto Sans CJK SC"/>
        <family val="2"/>
      </rPr>
      <t>付与）であり、実績は案件ごとの品質責任者ベースで算定される
・目標と実績で概念が異なる点に留意</t>
    </r>
  </si>
  <si>
    <r>
      <rPr>
        <b/>
        <sz val="9"/>
        <color theme="0"/>
        <rFont val="Noto Sans CJK SC"/>
        <family val="2"/>
      </rPr>
      <t>所属</t>
    </r>
    <r>
      <rPr>
        <b/>
        <sz val="9"/>
        <color theme="0"/>
        <rFont val="游ゴシック"/>
        <family val="2"/>
        <charset val="1"/>
      </rPr>
      <t>Pracice</t>
    </r>
  </si>
  <si>
    <r>
      <rPr>
        <b/>
        <sz val="9"/>
        <color theme="0"/>
        <rFont val="游ゴシック"/>
        <family val="3"/>
        <charset val="128"/>
      </rPr>
      <t>KPI</t>
    </r>
    <r>
      <rPr>
        <b/>
        <sz val="9"/>
        <color theme="0"/>
        <rFont val="Noto Sans CJK SC"/>
        <family val="2"/>
      </rPr>
      <t>該当有無の整理</t>
    </r>
  </si>
  <si>
    <r>
      <rPr>
        <b/>
        <sz val="9"/>
        <color theme="0"/>
        <rFont val="游ゴシック"/>
        <family val="3"/>
        <charset val="128"/>
      </rPr>
      <t>FY26</t>
    </r>
    <r>
      <rPr>
        <b/>
        <sz val="9"/>
        <color theme="0"/>
        <rFont val="Noto Sans CJK SC"/>
        <family val="2"/>
      </rPr>
      <t>対象</t>
    </r>
  </si>
  <si>
    <r>
      <rPr>
        <b/>
        <sz val="9"/>
        <color theme="0"/>
        <rFont val="游ゴシック"/>
        <family val="3"/>
        <charset val="128"/>
      </rPr>
      <t>FY27</t>
    </r>
    <r>
      <rPr>
        <b/>
        <sz val="9"/>
        <color theme="0"/>
        <rFont val="Noto Sans CJK SC"/>
        <family val="2"/>
      </rPr>
      <t>対象</t>
    </r>
  </si>
  <si>
    <r>
      <rPr>
        <b/>
        <sz val="9"/>
        <color theme="0"/>
        <rFont val="游ゴシック"/>
        <family val="3"/>
        <charset val="128"/>
      </rPr>
      <t>Practice</t>
    </r>
    <r>
      <rPr>
        <b/>
        <sz val="9"/>
        <color theme="0"/>
        <rFont val="Noto Sans CJK SC"/>
        <family val="2"/>
      </rPr>
      <t>リーダー</t>
    </r>
    <r>
      <rPr>
        <b/>
        <sz val="9"/>
        <color theme="0"/>
        <rFont val="游ゴシック"/>
        <family val="3"/>
        <charset val="128"/>
      </rPr>
      <t>KPI</t>
    </r>
  </si>
  <si>
    <r>
      <rPr>
        <b/>
        <sz val="9"/>
        <color theme="0"/>
        <rFont val="游ゴシック"/>
        <family val="3"/>
        <charset val="128"/>
      </rPr>
      <t>MD</t>
    </r>
    <r>
      <rPr>
        <b/>
        <sz val="9"/>
        <color theme="0"/>
        <rFont val="Noto Sans CJK SC"/>
        <family val="2"/>
      </rPr>
      <t>・</t>
    </r>
    <r>
      <rPr>
        <b/>
        <sz val="9"/>
        <color theme="0"/>
        <rFont val="游ゴシック"/>
        <family val="3"/>
        <charset val="128"/>
      </rPr>
      <t xml:space="preserve">D </t>
    </r>
    <r>
      <rPr>
        <b/>
        <sz val="9"/>
        <color theme="0"/>
        <rFont val="Noto Sans CJK SC"/>
        <family val="2"/>
      </rPr>
      <t>個人</t>
    </r>
    <r>
      <rPr>
        <b/>
        <sz val="9"/>
        <color theme="0"/>
        <rFont val="游ゴシック"/>
        <family val="3"/>
        <charset val="128"/>
      </rPr>
      <t>KPI</t>
    </r>
  </si>
  <si>
    <r>
      <rPr>
        <b/>
        <sz val="9"/>
        <color theme="0"/>
        <rFont val="游ゴシック"/>
        <family val="3"/>
        <charset val="128"/>
      </rPr>
      <t>Account</t>
    </r>
    <r>
      <rPr>
        <b/>
        <sz val="9"/>
        <color theme="0"/>
        <rFont val="Noto Sans CJK SC"/>
        <family val="2"/>
      </rPr>
      <t xml:space="preserve">リーダー </t>
    </r>
    <r>
      <rPr>
        <b/>
        <sz val="9"/>
        <color theme="0"/>
        <rFont val="游ゴシック"/>
        <family val="3"/>
        <charset val="128"/>
      </rPr>
      <t>KPI</t>
    </r>
  </si>
  <si>
    <r>
      <rPr>
        <b/>
        <sz val="9"/>
        <color theme="0"/>
        <rFont val="Noto Sans CJK SC"/>
        <family val="2"/>
      </rPr>
      <t>非財務</t>
    </r>
    <r>
      <rPr>
        <b/>
        <sz val="9"/>
        <color theme="0"/>
        <rFont val="游ゴシック"/>
        <family val="2"/>
        <charset val="1"/>
      </rPr>
      <t>KPI</t>
    </r>
  </si>
  <si>
    <r>
      <rPr>
        <b/>
        <sz val="9"/>
        <color theme="0"/>
        <rFont val="Noto Sans CJK SC"/>
        <family val="2"/>
      </rPr>
      <t>グロス</t>
    </r>
    <r>
      <rPr>
        <b/>
        <sz val="9"/>
        <color theme="0"/>
        <rFont val="游ゴシック"/>
        <family val="2"/>
        <charset val="1"/>
      </rPr>
      <t>Discount</t>
    </r>
    <r>
      <rPr>
        <b/>
        <sz val="9"/>
        <color theme="0"/>
        <rFont val="Noto Sans CJK SC"/>
        <family val="2"/>
      </rPr>
      <t>率</t>
    </r>
  </si>
  <si>
    <r>
      <rPr>
        <b/>
        <sz val="9"/>
        <color theme="0"/>
        <rFont val="游ゴシック"/>
        <family val="3"/>
        <charset val="128"/>
      </rPr>
      <t xml:space="preserve">Account </t>
    </r>
    <r>
      <rPr>
        <b/>
        <sz val="9"/>
        <color theme="0"/>
        <rFont val="Noto Sans CJK SC"/>
        <family val="2"/>
      </rPr>
      <t>リーダー</t>
    </r>
  </si>
  <si>
    <r>
      <rPr>
        <b/>
        <sz val="9"/>
        <color theme="0"/>
        <rFont val="游ゴシック"/>
        <family val="3"/>
        <charset val="128"/>
      </rPr>
      <t>MD</t>
    </r>
    <r>
      <rPr>
        <b/>
        <sz val="9"/>
        <color theme="0"/>
        <rFont val="Noto Sans CJK SC"/>
        <family val="2"/>
      </rPr>
      <t>・</t>
    </r>
    <r>
      <rPr>
        <b/>
        <sz val="9"/>
        <color theme="0"/>
        <rFont val="游ゴシック"/>
        <family val="3"/>
        <charset val="128"/>
      </rPr>
      <t>D</t>
    </r>
    <r>
      <rPr>
        <b/>
        <sz val="9"/>
        <color theme="0"/>
        <rFont val="Noto Sans CJK SC"/>
        <family val="2"/>
      </rPr>
      <t>個人</t>
    </r>
  </si>
  <si>
    <r>
      <rPr>
        <b/>
        <sz val="9"/>
        <color theme="0"/>
        <rFont val="游ゴシック"/>
        <family val="3"/>
        <charset val="128"/>
      </rPr>
      <t>Practice</t>
    </r>
    <r>
      <rPr>
        <b/>
        <sz val="9"/>
        <color theme="0"/>
        <rFont val="Noto Sans CJK SC"/>
        <family val="2"/>
      </rPr>
      <t xml:space="preserve">リーダー </t>
    </r>
    <r>
      <rPr>
        <b/>
        <sz val="9"/>
        <color theme="0"/>
        <rFont val="游ゴシック"/>
        <family val="3"/>
        <charset val="128"/>
      </rPr>
      <t>KPI</t>
    </r>
  </si>
  <si>
    <r>
      <rPr>
        <b/>
        <sz val="9"/>
        <color theme="0"/>
        <rFont val="Noto Sans CJK SC"/>
        <family val="2"/>
      </rPr>
      <t>入社</t>
    </r>
    <r>
      <rPr>
        <b/>
        <sz val="9"/>
        <color theme="0"/>
        <rFont val="游ゴシック"/>
        <family val="2"/>
        <charset val="1"/>
      </rPr>
      <t>1</t>
    </r>
    <r>
      <rPr>
        <b/>
        <sz val="9"/>
        <color theme="0"/>
        <rFont val="Noto Sans CJK SC"/>
        <family val="2"/>
      </rPr>
      <t>年目</t>
    </r>
  </si>
  <si>
    <r>
      <rPr>
        <b/>
        <sz val="9"/>
        <color theme="0"/>
        <rFont val="Noto Sans CJK SC"/>
        <family val="2"/>
      </rPr>
      <t>入社</t>
    </r>
    <r>
      <rPr>
        <b/>
        <sz val="9"/>
        <color theme="0"/>
        <rFont val="游ゴシック"/>
        <family val="2"/>
        <charset val="1"/>
      </rPr>
      <t>2</t>
    </r>
    <r>
      <rPr>
        <b/>
        <sz val="9"/>
        <color theme="0"/>
        <rFont val="Noto Sans CJK SC"/>
        <family val="2"/>
      </rPr>
      <t>年目</t>
    </r>
  </si>
  <si>
    <r>
      <rPr>
        <b/>
        <sz val="9"/>
        <color theme="0"/>
        <rFont val="Noto Sans CJK SC"/>
        <family val="2"/>
      </rPr>
      <t>入社</t>
    </r>
    <r>
      <rPr>
        <b/>
        <sz val="9"/>
        <color theme="0"/>
        <rFont val="游ゴシック"/>
        <family val="2"/>
        <charset val="1"/>
      </rPr>
      <t>3</t>
    </r>
    <r>
      <rPr>
        <b/>
        <sz val="9"/>
        <color theme="0"/>
        <rFont val="Noto Sans CJK SC"/>
        <family val="2"/>
      </rPr>
      <t>年目</t>
    </r>
  </si>
  <si>
    <t>FY27</t>
  </si>
  <si>
    <r>
      <rPr>
        <b/>
        <sz val="9"/>
        <color theme="0"/>
        <rFont val="Noto Sans CJK SC"/>
        <family val="2"/>
      </rPr>
      <t>有償稼働率</t>
    </r>
    <r>
      <rPr>
        <b/>
        <sz val="9"/>
        <color theme="0"/>
        <rFont val="游ゴシック"/>
        <family val="2"/>
        <charset val="1"/>
      </rPr>
      <t>(</t>
    </r>
    <r>
      <rPr>
        <b/>
        <sz val="9"/>
        <color theme="0"/>
        <rFont val="Noto Sans CJK SC"/>
        <family val="2"/>
      </rPr>
      <t>組織トータル</t>
    </r>
    <r>
      <rPr>
        <b/>
        <sz val="9"/>
        <color theme="0"/>
        <rFont val="游ゴシック"/>
        <family val="2"/>
        <charset val="1"/>
      </rPr>
      <t>)</t>
    </r>
  </si>
  <si>
    <r>
      <rPr>
        <b/>
        <sz val="9"/>
        <color theme="0"/>
        <rFont val="Noto Sans CJK SC"/>
        <family val="2"/>
      </rPr>
      <t>有償稼働率</t>
    </r>
    <r>
      <rPr>
        <b/>
        <sz val="9"/>
        <color theme="0"/>
        <rFont val="游ゴシック"/>
        <family val="2"/>
        <charset val="1"/>
      </rPr>
      <t>(</t>
    </r>
    <r>
      <rPr>
        <b/>
        <sz val="9"/>
        <color theme="0"/>
        <rFont val="Noto Sans CJK SC"/>
        <family val="2"/>
      </rPr>
      <t>個人</t>
    </r>
    <r>
      <rPr>
        <b/>
        <sz val="9"/>
        <color theme="0"/>
        <rFont val="游ゴシック"/>
        <family val="2"/>
        <charset val="1"/>
      </rPr>
      <t>)</t>
    </r>
  </si>
  <si>
    <r>
      <rPr>
        <b/>
        <sz val="9"/>
        <color theme="0"/>
        <rFont val="游ゴシック"/>
        <family val="3"/>
        <charset val="128"/>
      </rPr>
      <t>AI</t>
    </r>
    <r>
      <rPr>
        <b/>
        <sz val="9"/>
        <color theme="0"/>
        <rFont val="Noto Sans CJK SC"/>
        <family val="2"/>
      </rPr>
      <t>活用</t>
    </r>
  </si>
  <si>
    <r>
      <rPr>
        <sz val="11"/>
        <rFont val="游ゴシック"/>
        <family val="3"/>
        <charset val="128"/>
      </rPr>
      <t>(</t>
    </r>
    <r>
      <rPr>
        <sz val="11"/>
        <rFont val="Noto Sans CJK SC"/>
        <family val="2"/>
      </rPr>
      <t>作成予定</t>
    </r>
    <r>
      <rPr>
        <sz val="11"/>
        <rFont val="游ゴシック"/>
        <family val="3"/>
        <charset val="128"/>
      </rPr>
      <t>)</t>
    </r>
  </si>
  <si>
    <r>
      <rPr>
        <sz val="11"/>
        <rFont val="Noto Sans CJK SC"/>
        <family val="2"/>
      </rPr>
      <t>・金融領域の専門人材を年間</t>
    </r>
    <r>
      <rPr>
        <sz val="11"/>
        <rFont val="游ゴシック"/>
        <family val="2"/>
        <charset val="1"/>
      </rPr>
      <t>5</t>
    </r>
    <r>
      <rPr>
        <sz val="11"/>
        <rFont val="Noto Sans CJK SC"/>
        <family val="2"/>
      </rPr>
      <t>名以上面談し、うち</t>
    </r>
    <r>
      <rPr>
        <sz val="11"/>
        <rFont val="游ゴシック"/>
        <family val="2"/>
        <charset val="1"/>
      </rPr>
      <t>2</t>
    </r>
    <r>
      <rPr>
        <sz val="11"/>
        <rFont val="Noto Sans CJK SC"/>
        <family val="2"/>
      </rPr>
      <t>名以上の内定承諾に貢献</t>
    </r>
  </si>
  <si>
    <r>
      <rPr>
        <sz val="11"/>
        <rFont val="Noto Sans CJK SC"/>
        <family val="2"/>
      </rPr>
      <t>・ターゲットアカウントにおいて、</t>
    </r>
    <r>
      <rPr>
        <sz val="11"/>
        <rFont val="游ゴシック"/>
        <family val="2"/>
        <charset val="1"/>
      </rPr>
      <t>CFO</t>
    </r>
    <r>
      <rPr>
        <sz val="11"/>
        <rFont val="Noto Sans CJK SC"/>
        <family val="2"/>
      </rPr>
      <t>または経営企画責任者との四半期ごとの戦略対話を実施</t>
    </r>
  </si>
  <si>
    <r>
      <rPr>
        <sz val="11"/>
        <rFont val="Noto Sans CJK SC"/>
        <family val="2"/>
      </rPr>
      <t>・新規金融機関または製造業</t>
    </r>
    <r>
      <rPr>
        <sz val="11"/>
        <rFont val="游ゴシック"/>
        <family val="2"/>
        <charset val="1"/>
      </rPr>
      <t>3</t>
    </r>
    <r>
      <rPr>
        <sz val="11"/>
        <rFont val="Noto Sans CJK SC"/>
        <family val="2"/>
      </rPr>
      <t>社へのアプローチをリードし、うち</t>
    </r>
    <r>
      <rPr>
        <sz val="11"/>
        <rFont val="游ゴシック"/>
        <family val="2"/>
        <charset val="1"/>
      </rPr>
      <t>1</t>
    </r>
    <r>
      <rPr>
        <sz val="11"/>
        <rFont val="Noto Sans CJK SC"/>
        <family val="2"/>
      </rPr>
      <t>社で</t>
    </r>
    <r>
      <rPr>
        <sz val="11"/>
        <rFont val="游ゴシック"/>
        <family val="2"/>
        <charset val="1"/>
      </rPr>
      <t>M&amp;A</t>
    </r>
    <r>
      <rPr>
        <sz val="11"/>
        <rFont val="Noto Sans CJK SC"/>
        <family val="2"/>
      </rPr>
      <t>関連案件を受注</t>
    </r>
  </si>
  <si>
    <r>
      <rPr>
        <sz val="11"/>
        <rFont val="Noto Sans CJK SC"/>
        <family val="2"/>
      </rPr>
      <t>・</t>
    </r>
    <r>
      <rPr>
        <sz val="11"/>
        <rFont val="游ゴシック"/>
        <family val="2"/>
        <charset val="1"/>
      </rPr>
      <t>M&amp;A/PMI</t>
    </r>
    <r>
      <rPr>
        <sz val="11"/>
        <rFont val="Noto Sans CJK SC"/>
        <family val="2"/>
      </rPr>
      <t>手法に関する社内勉強会を年</t>
    </r>
    <r>
      <rPr>
        <sz val="11"/>
        <rFont val="游ゴシック"/>
        <family val="2"/>
        <charset val="1"/>
      </rPr>
      <t>2</t>
    </r>
    <r>
      <rPr>
        <sz val="11"/>
        <rFont val="Noto Sans CJK SC"/>
        <family val="2"/>
      </rPr>
      <t>回開催</t>
    </r>
  </si>
  <si>
    <r>
      <rPr>
        <sz val="11"/>
        <rFont val="Noto Sans CJK SC"/>
        <family val="2"/>
      </rPr>
      <t>・</t>
    </r>
    <r>
      <rPr>
        <sz val="11"/>
        <rFont val="游ゴシック"/>
        <family val="2"/>
        <charset val="1"/>
      </rPr>
      <t>M&amp;A</t>
    </r>
    <r>
      <rPr>
        <sz val="11"/>
        <rFont val="Noto Sans CJK SC"/>
        <family val="2"/>
      </rPr>
      <t>または事業再編に関する論考を年</t>
    </r>
    <r>
      <rPr>
        <sz val="11"/>
        <rFont val="游ゴシック"/>
        <family val="2"/>
        <charset val="1"/>
      </rPr>
      <t>1</t>
    </r>
    <r>
      <rPr>
        <sz val="11"/>
        <rFont val="Noto Sans CJK SC"/>
        <family val="2"/>
      </rPr>
      <t>本発信</t>
    </r>
  </si>
  <si>
    <t>トヨタ・日立</t>
  </si>
  <si>
    <t>Construction</t>
  </si>
  <si>
    <t>竹中工務店・中部電力</t>
  </si>
  <si>
    <r>
      <rPr>
        <sz val="11"/>
        <rFont val="Noto Sans CJK SC"/>
        <family val="2"/>
      </rPr>
      <t>・建設・不動産業界のコンサルタント経験者を年間</t>
    </r>
    <r>
      <rPr>
        <sz val="11"/>
        <rFont val="游ゴシック"/>
        <family val="2"/>
        <charset val="1"/>
      </rPr>
      <t>5</t>
    </r>
    <r>
      <rPr>
        <sz val="11"/>
        <rFont val="Noto Sans CJK SC"/>
        <family val="2"/>
      </rPr>
      <t>名以上面談し、うち</t>
    </r>
    <r>
      <rPr>
        <sz val="11"/>
        <rFont val="游ゴシック"/>
        <family val="2"/>
        <charset val="1"/>
      </rPr>
      <t>2</t>
    </r>
    <r>
      <rPr>
        <sz val="11"/>
        <rFont val="Noto Sans CJK SC"/>
        <family val="2"/>
      </rPr>
      <t>名以上の内定承諾に貢献</t>
    </r>
  </si>
  <si>
    <r>
      <rPr>
        <sz val="11"/>
        <rFont val="Noto Sans CJK SC"/>
        <family val="2"/>
      </rPr>
      <t>・既存建設・不動産クライアント</t>
    </r>
    <r>
      <rPr>
        <sz val="11"/>
        <rFont val="游ゴシック"/>
        <family val="2"/>
        <charset val="1"/>
      </rPr>
      <t>2</t>
    </r>
    <r>
      <rPr>
        <sz val="11"/>
        <rFont val="Noto Sans CJK SC"/>
        <family val="2"/>
      </rPr>
      <t>社において、事業責任者レベルとの四半期ごとの戦略ディスカッションを実施</t>
    </r>
  </si>
  <si>
    <r>
      <rPr>
        <sz val="11"/>
        <rFont val="Noto Sans CJK SC"/>
        <family val="2"/>
      </rPr>
      <t>・新規建設・不動産企業または自治体</t>
    </r>
    <r>
      <rPr>
        <sz val="11"/>
        <rFont val="游ゴシック"/>
        <family val="2"/>
        <charset val="1"/>
      </rPr>
      <t>3</t>
    </r>
    <r>
      <rPr>
        <sz val="11"/>
        <rFont val="Noto Sans CJK SC"/>
        <family val="2"/>
      </rPr>
      <t>社へのアプローチをリードし、うち</t>
    </r>
    <r>
      <rPr>
        <sz val="11"/>
        <rFont val="游ゴシック"/>
        <family val="2"/>
        <charset val="1"/>
      </rPr>
      <t>1</t>
    </r>
    <r>
      <rPr>
        <sz val="11"/>
        <rFont val="Noto Sans CJK SC"/>
        <family val="2"/>
      </rPr>
      <t>社でパイロット案件を受注</t>
    </r>
  </si>
  <si>
    <r>
      <rPr>
        <sz val="11"/>
        <rFont val="Noto Sans CJK SC"/>
        <family val="2"/>
      </rPr>
      <t>・建設業界の戦略策定手法に関する社内勉強会を年</t>
    </r>
    <r>
      <rPr>
        <sz val="11"/>
        <rFont val="游ゴシック"/>
        <family val="2"/>
        <charset val="1"/>
      </rPr>
      <t>2</t>
    </r>
    <r>
      <rPr>
        <sz val="11"/>
        <rFont val="Noto Sans CJK SC"/>
        <family val="2"/>
      </rPr>
      <t>回開催</t>
    </r>
  </si>
  <si>
    <r>
      <rPr>
        <sz val="11"/>
        <rFont val="Noto Sans CJK SC"/>
        <family val="2"/>
      </rPr>
      <t>・スマートシティまたは建設業界の未来戦略に関するホワイトペーパーを年</t>
    </r>
    <r>
      <rPr>
        <sz val="11"/>
        <rFont val="游ゴシック"/>
        <family val="2"/>
        <charset val="1"/>
      </rPr>
      <t>1</t>
    </r>
    <r>
      <rPr>
        <sz val="11"/>
        <rFont val="Noto Sans CJK SC"/>
        <family val="2"/>
      </rPr>
      <t>本発信</t>
    </r>
  </si>
  <si>
    <r>
      <rPr>
        <sz val="11"/>
        <rFont val="Noto Sans CJK SC"/>
        <family val="2"/>
      </rPr>
      <t>博報堂・</t>
    </r>
    <r>
      <rPr>
        <sz val="11"/>
        <rFont val="游ゴシック"/>
        <family val="2"/>
        <charset val="1"/>
      </rPr>
      <t>JTB</t>
    </r>
    <r>
      <rPr>
        <sz val="11"/>
        <rFont val="Noto Sans CJK SC"/>
        <family val="2"/>
      </rPr>
      <t>・</t>
    </r>
    <r>
      <rPr>
        <sz val="11"/>
        <rFont val="游ゴシック"/>
        <family val="2"/>
        <charset val="1"/>
      </rPr>
      <t>JR</t>
    </r>
    <r>
      <rPr>
        <sz val="11"/>
        <rFont val="Noto Sans CJK SC"/>
        <family val="2"/>
      </rPr>
      <t>北海道</t>
    </r>
  </si>
  <si>
    <r>
      <rPr>
        <sz val="11"/>
        <rFont val="Noto Sans CJK SC"/>
        <family val="2"/>
      </rPr>
      <t>・流通小売・消費財業界の戦略コンサルタント経験者を年間</t>
    </r>
    <r>
      <rPr>
        <sz val="11"/>
        <rFont val="游ゴシック"/>
        <family val="2"/>
        <charset val="1"/>
      </rPr>
      <t>5</t>
    </r>
    <r>
      <rPr>
        <sz val="11"/>
        <rFont val="Noto Sans CJK SC"/>
        <family val="2"/>
      </rPr>
      <t>名以上面談し、うち</t>
    </r>
    <r>
      <rPr>
        <sz val="11"/>
        <rFont val="游ゴシック"/>
        <family val="2"/>
        <charset val="1"/>
      </rPr>
      <t>2</t>
    </r>
    <r>
      <rPr>
        <sz val="11"/>
        <rFont val="Noto Sans CJK SC"/>
        <family val="2"/>
      </rPr>
      <t>名以上の内定承諾に貢献</t>
    </r>
  </si>
  <si>
    <r>
      <rPr>
        <sz val="11"/>
        <rFont val="Noto Sans CJK SC"/>
        <family val="2"/>
      </rPr>
      <t>・成長戦略立案手法に関する社内ワークショップを年</t>
    </r>
    <r>
      <rPr>
        <sz val="11"/>
        <rFont val="游ゴシック"/>
        <family val="2"/>
        <charset val="1"/>
      </rPr>
      <t>2</t>
    </r>
    <r>
      <rPr>
        <sz val="11"/>
        <rFont val="Noto Sans CJK SC"/>
        <family val="2"/>
      </rPr>
      <t>回開催</t>
    </r>
  </si>
  <si>
    <r>
      <rPr>
        <sz val="11"/>
        <rFont val="Noto Sans CJK SC"/>
        <family val="2"/>
      </rPr>
      <t>・流通小売業界の成長戦略またはサステナビリティ戦略に関するホワイトペーパーを年</t>
    </r>
    <r>
      <rPr>
        <sz val="11"/>
        <rFont val="游ゴシック"/>
        <family val="2"/>
        <charset val="1"/>
      </rPr>
      <t>1</t>
    </r>
    <r>
      <rPr>
        <sz val="11"/>
        <rFont val="Noto Sans CJK SC"/>
        <family val="2"/>
      </rPr>
      <t>本発信</t>
    </r>
  </si>
  <si>
    <t>山九</t>
  </si>
  <si>
    <r>
      <rPr>
        <sz val="11"/>
        <rFont val="Noto Sans CJK SC"/>
        <family val="2"/>
      </rPr>
      <t>・コーポレートファイナンスまたは</t>
    </r>
    <r>
      <rPr>
        <sz val="11"/>
        <rFont val="游ゴシック"/>
        <family val="2"/>
        <charset val="1"/>
      </rPr>
      <t>M&amp;A</t>
    </r>
    <r>
      <rPr>
        <sz val="11"/>
        <rFont val="Noto Sans CJK SC"/>
        <family val="2"/>
      </rPr>
      <t>経験者を年間</t>
    </r>
    <r>
      <rPr>
        <sz val="11"/>
        <rFont val="游ゴシック"/>
        <family val="2"/>
        <charset val="1"/>
      </rPr>
      <t>7</t>
    </r>
    <r>
      <rPr>
        <sz val="11"/>
        <rFont val="Noto Sans CJK SC"/>
        <family val="2"/>
      </rPr>
      <t>名以上面談し、うち</t>
    </r>
    <r>
      <rPr>
        <sz val="11"/>
        <rFont val="游ゴシック"/>
        <family val="2"/>
        <charset val="1"/>
      </rPr>
      <t>3</t>
    </r>
    <r>
      <rPr>
        <sz val="11"/>
        <rFont val="Noto Sans CJK SC"/>
        <family val="2"/>
      </rPr>
      <t>名以上の内定承諾に貢献</t>
    </r>
  </si>
  <si>
    <r>
      <rPr>
        <sz val="11"/>
        <rFont val="Noto Sans CJK SC"/>
        <family val="2"/>
      </rPr>
      <t>・既存クライアント</t>
    </r>
    <r>
      <rPr>
        <sz val="11"/>
        <rFont val="游ゴシック"/>
        <family val="2"/>
        <charset val="1"/>
      </rPr>
      <t>3</t>
    </r>
    <r>
      <rPr>
        <sz val="11"/>
        <rFont val="Noto Sans CJK SC"/>
        <family val="2"/>
      </rPr>
      <t>社において、</t>
    </r>
    <r>
      <rPr>
        <sz val="11"/>
        <rFont val="游ゴシック"/>
        <family val="2"/>
        <charset val="1"/>
      </rPr>
      <t>CFO</t>
    </r>
    <r>
      <rPr>
        <sz val="11"/>
        <rFont val="Noto Sans CJK SC"/>
        <family val="2"/>
      </rPr>
      <t>または</t>
    </r>
    <r>
      <rPr>
        <sz val="11"/>
        <rFont val="游ゴシック"/>
        <family val="2"/>
        <charset val="1"/>
      </rPr>
      <t>M&amp;A</t>
    </r>
    <r>
      <rPr>
        <sz val="11"/>
        <rFont val="Noto Sans CJK SC"/>
        <family val="2"/>
      </rPr>
      <t>責任者との四半期ごとの戦略対話を主導</t>
    </r>
  </si>
  <si>
    <r>
      <rPr>
        <sz val="11"/>
        <rFont val="Noto Sans CJK SC"/>
        <family val="2"/>
      </rPr>
      <t>・</t>
    </r>
    <r>
      <rPr>
        <sz val="11"/>
        <rFont val="游ゴシック"/>
        <family val="2"/>
        <charset val="1"/>
      </rPr>
      <t>M&amp;A</t>
    </r>
    <r>
      <rPr>
        <sz val="11"/>
        <rFont val="Noto Sans CJK SC"/>
        <family val="2"/>
      </rPr>
      <t>または事業再編ニーズを持つ新規クライアント</t>
    </r>
    <r>
      <rPr>
        <sz val="11"/>
        <rFont val="游ゴシック"/>
        <family val="2"/>
        <charset val="1"/>
      </rPr>
      <t>4</t>
    </r>
    <r>
      <rPr>
        <sz val="11"/>
        <rFont val="Noto Sans CJK SC"/>
        <family val="2"/>
      </rPr>
      <t>社へのアプローチをリードし、うち</t>
    </r>
    <r>
      <rPr>
        <sz val="11"/>
        <rFont val="游ゴシック"/>
        <family val="2"/>
        <charset val="1"/>
      </rPr>
      <t>2</t>
    </r>
    <r>
      <rPr>
        <sz val="11"/>
        <rFont val="Noto Sans CJK SC"/>
        <family val="2"/>
      </rPr>
      <t>社でパイロット案件を受注</t>
    </r>
  </si>
  <si>
    <r>
      <rPr>
        <sz val="11"/>
        <rFont val="Noto Sans CJK SC"/>
        <family val="2"/>
      </rPr>
      <t>・コーポレートファイナンス手法に関する社内トレーニングを年</t>
    </r>
    <r>
      <rPr>
        <sz val="11"/>
        <rFont val="游ゴシック"/>
        <family val="2"/>
        <charset val="1"/>
      </rPr>
      <t>3</t>
    </r>
    <r>
      <rPr>
        <sz val="11"/>
        <rFont val="Noto Sans CJK SC"/>
        <family val="2"/>
      </rPr>
      <t>回開催</t>
    </r>
  </si>
  <si>
    <r>
      <rPr>
        <sz val="11"/>
        <rFont val="Noto Sans CJK SC"/>
        <family val="2"/>
      </rPr>
      <t>・</t>
    </r>
    <r>
      <rPr>
        <sz val="11"/>
        <rFont val="游ゴシック"/>
        <family val="2"/>
        <charset val="1"/>
      </rPr>
      <t>M&amp;A</t>
    </r>
    <r>
      <rPr>
        <sz val="11"/>
        <rFont val="Noto Sans CJK SC"/>
        <family val="2"/>
      </rPr>
      <t>または事業戦略に関するホワイトペーパーを年</t>
    </r>
    <r>
      <rPr>
        <sz val="11"/>
        <rFont val="游ゴシック"/>
        <family val="2"/>
        <charset val="1"/>
      </rPr>
      <t>2</t>
    </r>
    <r>
      <rPr>
        <sz val="11"/>
        <rFont val="Noto Sans CJK SC"/>
        <family val="2"/>
      </rPr>
      <t>本発信</t>
    </r>
  </si>
  <si>
    <r>
      <rPr>
        <sz val="11"/>
        <rFont val="Noto Sans CJK SC"/>
        <family val="2"/>
      </rPr>
      <t>・サイバーセキュリティ専門人材（</t>
    </r>
    <r>
      <rPr>
        <sz val="11"/>
        <rFont val="游ゴシック"/>
        <family val="2"/>
        <charset val="1"/>
      </rPr>
      <t>CISO</t>
    </r>
    <r>
      <rPr>
        <sz val="11"/>
        <rFont val="Noto Sans CJK SC"/>
        <family val="2"/>
      </rPr>
      <t>、</t>
    </r>
    <r>
      <rPr>
        <sz val="11"/>
        <rFont val="游ゴシック"/>
        <family val="2"/>
        <charset val="1"/>
      </rPr>
      <t>SOC</t>
    </r>
    <r>
      <rPr>
        <sz val="11"/>
        <rFont val="Noto Sans CJK SC"/>
        <family val="2"/>
      </rPr>
      <t>経験者等）を年間</t>
    </r>
    <r>
      <rPr>
        <sz val="11"/>
        <rFont val="游ゴシック"/>
        <family val="2"/>
        <charset val="1"/>
      </rPr>
      <t>7</t>
    </r>
    <r>
      <rPr>
        <sz val="11"/>
        <rFont val="Noto Sans CJK SC"/>
        <family val="2"/>
      </rPr>
      <t>名以上面談し、うち</t>
    </r>
    <r>
      <rPr>
        <sz val="11"/>
        <rFont val="游ゴシック"/>
        <family val="2"/>
        <charset val="1"/>
      </rPr>
      <t>3</t>
    </r>
    <r>
      <rPr>
        <sz val="11"/>
        <rFont val="Noto Sans CJK SC"/>
        <family val="2"/>
      </rPr>
      <t>名以上の内定承諾に貢献</t>
    </r>
  </si>
  <si>
    <r>
      <rPr>
        <sz val="11"/>
        <rFont val="Noto Sans CJK SC"/>
        <family val="2"/>
      </rPr>
      <t>・新規クライアント含む</t>
    </r>
    <r>
      <rPr>
        <sz val="11"/>
        <rFont val="游ゴシック"/>
        <family val="2"/>
        <charset val="1"/>
      </rPr>
      <t>3</t>
    </r>
    <r>
      <rPr>
        <sz val="11"/>
        <rFont val="Noto Sans CJK SC"/>
        <family val="2"/>
      </rPr>
      <t>社において、</t>
    </r>
    <r>
      <rPr>
        <sz val="11"/>
        <rFont val="游ゴシック"/>
        <family val="2"/>
        <charset val="1"/>
      </rPr>
      <t>CISO</t>
    </r>
    <r>
      <rPr>
        <sz val="11"/>
        <rFont val="Noto Sans CJK SC"/>
        <family val="2"/>
      </rPr>
      <t>またはセキュリティ責任者との四半期ごとの戦略対話を主導</t>
    </r>
  </si>
  <si>
    <r>
      <rPr>
        <sz val="11"/>
        <rFont val="Noto Sans CJK SC"/>
        <family val="2"/>
      </rPr>
      <t>・セキュリティ強化ニーズを持つ新規クライアント</t>
    </r>
    <r>
      <rPr>
        <sz val="11"/>
        <rFont val="游ゴシック"/>
        <family val="2"/>
        <charset val="1"/>
      </rPr>
      <t>4</t>
    </r>
    <r>
      <rPr>
        <sz val="11"/>
        <rFont val="Noto Sans CJK SC"/>
        <family val="2"/>
      </rPr>
      <t>社へのアプローチをリードし、うち</t>
    </r>
    <r>
      <rPr>
        <sz val="11"/>
        <rFont val="游ゴシック"/>
        <family val="2"/>
        <charset val="1"/>
      </rPr>
      <t>2</t>
    </r>
    <r>
      <rPr>
        <sz val="11"/>
        <rFont val="Noto Sans CJK SC"/>
        <family val="2"/>
      </rPr>
      <t>社でパイロット案件を受注</t>
    </r>
  </si>
  <si>
    <r>
      <rPr>
        <sz val="11"/>
        <rFont val="Noto Sans CJK SC"/>
        <family val="2"/>
      </rPr>
      <t>・サイバーセキュリティガバナンスに関する社内トレーニングを年</t>
    </r>
    <r>
      <rPr>
        <sz val="11"/>
        <rFont val="游ゴシック"/>
        <family val="2"/>
        <charset val="1"/>
      </rPr>
      <t>3</t>
    </r>
    <r>
      <rPr>
        <sz val="11"/>
        <rFont val="Noto Sans CJK SC"/>
        <family val="2"/>
      </rPr>
      <t>回開催</t>
    </r>
  </si>
  <si>
    <r>
      <rPr>
        <sz val="11"/>
        <rFont val="Noto Sans CJK SC"/>
        <family val="2"/>
      </rPr>
      <t>・サイバーセキュリティ戦略またはゼロトラストアーキテクチャに関するホワイトペーパーを年</t>
    </r>
    <r>
      <rPr>
        <sz val="11"/>
        <rFont val="游ゴシック"/>
        <family val="2"/>
        <charset val="1"/>
      </rPr>
      <t>2</t>
    </r>
    <r>
      <rPr>
        <sz val="11"/>
        <rFont val="Noto Sans CJK SC"/>
        <family val="2"/>
      </rPr>
      <t>本発信</t>
    </r>
  </si>
  <si>
    <r>
      <rPr>
        <sz val="11"/>
        <rFont val="Noto Sans CJK SC"/>
        <family val="2"/>
      </rPr>
      <t>三菱</t>
    </r>
    <r>
      <rPr>
        <sz val="11"/>
        <rFont val="游ゴシック"/>
        <family val="2"/>
        <charset val="1"/>
      </rPr>
      <t>UFJ</t>
    </r>
    <r>
      <rPr>
        <sz val="11"/>
        <rFont val="Noto Sans CJK SC"/>
        <family val="2"/>
      </rPr>
      <t>・野村</t>
    </r>
    <r>
      <rPr>
        <sz val="11"/>
        <rFont val="游ゴシック"/>
        <family val="2"/>
        <charset val="1"/>
      </rPr>
      <t>HD</t>
    </r>
  </si>
  <si>
    <r>
      <rPr>
        <sz val="11"/>
        <rFont val="Noto Sans CJK SC"/>
        <family val="2"/>
      </rPr>
      <t>・ターゲットアカウントにおいて、</t>
    </r>
    <r>
      <rPr>
        <sz val="11"/>
        <rFont val="游ゴシック"/>
        <family val="2"/>
        <charset val="1"/>
      </rPr>
      <t>CRO</t>
    </r>
    <r>
      <rPr>
        <sz val="11"/>
        <rFont val="Noto Sans CJK SC"/>
        <family val="2"/>
      </rPr>
      <t>または</t>
    </r>
    <r>
      <rPr>
        <sz val="11"/>
        <rFont val="游ゴシック"/>
        <family val="2"/>
        <charset val="1"/>
      </rPr>
      <t>CCO</t>
    </r>
    <r>
      <rPr>
        <sz val="11"/>
        <rFont val="Noto Sans CJK SC"/>
        <family val="2"/>
      </rPr>
      <t>レベルとの四半期ごとの戦略ディスカッションを主導</t>
    </r>
  </si>
  <si>
    <r>
      <rPr>
        <sz val="11"/>
        <rFont val="Noto Sans CJK SC"/>
        <family val="2"/>
      </rPr>
      <t>・</t>
    </r>
    <r>
      <rPr>
        <sz val="11"/>
        <rFont val="游ゴシック"/>
        <family val="2"/>
        <charset val="1"/>
      </rPr>
      <t>Basel</t>
    </r>
    <r>
      <rPr>
        <sz val="11"/>
        <rFont val="Noto Sans CJK SC"/>
        <family val="2"/>
      </rPr>
      <t>規制対応や</t>
    </r>
    <r>
      <rPr>
        <sz val="11"/>
        <rFont val="游ゴシック"/>
        <family val="2"/>
        <charset val="1"/>
      </rPr>
      <t>AML/CFT</t>
    </r>
    <r>
      <rPr>
        <sz val="11"/>
        <rFont val="Noto Sans CJK SC"/>
        <family val="2"/>
      </rPr>
      <t>高度化ニーズを持つ新規金融機関</t>
    </r>
    <r>
      <rPr>
        <sz val="11"/>
        <rFont val="游ゴシック"/>
        <family val="2"/>
        <charset val="1"/>
      </rPr>
      <t>2</t>
    </r>
    <r>
      <rPr>
        <sz val="11"/>
        <rFont val="Noto Sans CJK SC"/>
        <family val="2"/>
      </rPr>
      <t>社へのアプローチをリードし、</t>
    </r>
    <r>
      <rPr>
        <sz val="11"/>
        <rFont val="游ゴシック"/>
        <family val="2"/>
        <charset val="1"/>
      </rPr>
      <t>1</t>
    </r>
    <r>
      <rPr>
        <sz val="11"/>
        <rFont val="Noto Sans CJK SC"/>
        <family val="2"/>
      </rPr>
      <t>件以上のパイロット案件を受注</t>
    </r>
  </si>
  <si>
    <r>
      <rPr>
        <sz val="11"/>
        <rFont val="Noto Sans CJK SC"/>
        <family val="2"/>
      </rPr>
      <t>・金融規制・リスク管理に関する社内勉強会を年</t>
    </r>
    <r>
      <rPr>
        <sz val="11"/>
        <rFont val="游ゴシック"/>
        <family val="2"/>
        <charset val="1"/>
      </rPr>
      <t>1</t>
    </r>
    <r>
      <rPr>
        <sz val="11"/>
        <rFont val="Noto Sans CJK SC"/>
        <family val="2"/>
      </rPr>
      <t>回以上開催し、ジュニアコンサルタントの専門性向上を支援</t>
    </r>
  </si>
  <si>
    <r>
      <rPr>
        <sz val="11"/>
        <rFont val="Noto Sans CJK SC"/>
        <family val="2"/>
      </rPr>
      <t>・</t>
    </r>
    <r>
      <rPr>
        <sz val="11"/>
        <rFont val="游ゴシック"/>
        <family val="2"/>
        <charset val="1"/>
      </rPr>
      <t>Basel</t>
    </r>
    <r>
      <rPr>
        <sz val="11"/>
        <rFont val="Noto Sans CJK SC"/>
        <family val="2"/>
      </rPr>
      <t>規制や</t>
    </r>
    <r>
      <rPr>
        <sz val="11"/>
        <rFont val="游ゴシック"/>
        <family val="2"/>
        <charset val="1"/>
      </rPr>
      <t>AML</t>
    </r>
    <r>
      <rPr>
        <sz val="11"/>
        <rFont val="Noto Sans CJK SC"/>
        <family val="2"/>
      </rPr>
      <t>高度化に関するホワイトペーパーまたは業界誌への寄稿を年</t>
    </r>
    <r>
      <rPr>
        <sz val="11"/>
        <rFont val="游ゴシック"/>
        <family val="2"/>
        <charset val="1"/>
      </rPr>
      <t>1</t>
    </r>
    <r>
      <rPr>
        <sz val="11"/>
        <rFont val="Noto Sans CJK SC"/>
        <family val="2"/>
      </rPr>
      <t>本発信（上期</t>
    </r>
    <r>
      <rPr>
        <sz val="11"/>
        <rFont val="游ゴシック"/>
        <family val="2"/>
        <charset val="1"/>
      </rPr>
      <t>1</t>
    </r>
    <r>
      <rPr>
        <sz val="11"/>
        <rFont val="Noto Sans CJK SC"/>
        <family val="2"/>
      </rPr>
      <t>本、下期</t>
    </r>
    <r>
      <rPr>
        <sz val="11"/>
        <rFont val="游ゴシック"/>
        <family val="2"/>
        <charset val="1"/>
      </rPr>
      <t>1</t>
    </r>
    <r>
      <rPr>
        <sz val="11"/>
        <rFont val="Noto Sans CJK SC"/>
        <family val="2"/>
      </rPr>
      <t>本）</t>
    </r>
  </si>
  <si>
    <t>国税庁・協会けんぽ</t>
  </si>
  <si>
    <t>厚生労働省</t>
  </si>
  <si>
    <r>
      <rPr>
        <sz val="11"/>
        <rFont val="Noto Sans CJK SC"/>
        <family val="2"/>
      </rPr>
      <t>・官公庁または公共機関の既存クライアント</t>
    </r>
    <r>
      <rPr>
        <sz val="11"/>
        <rFont val="游ゴシック"/>
        <family val="2"/>
        <charset val="1"/>
      </rPr>
      <t>2</t>
    </r>
    <r>
      <rPr>
        <sz val="11"/>
        <rFont val="Noto Sans CJK SC"/>
        <family val="2"/>
      </rPr>
      <t>機関において、部局長レベルとの定期的なリレーション活動を実施</t>
    </r>
  </si>
  <si>
    <r>
      <rPr>
        <sz val="11"/>
        <rFont val="Noto Sans CJK SC"/>
        <family val="2"/>
      </rPr>
      <t>・新規官公庁または自治体</t>
    </r>
    <r>
      <rPr>
        <sz val="11"/>
        <rFont val="游ゴシック"/>
        <family val="2"/>
        <charset val="1"/>
      </rPr>
      <t>2</t>
    </r>
    <r>
      <rPr>
        <sz val="11"/>
        <rFont val="Noto Sans CJK SC"/>
        <family val="2"/>
      </rPr>
      <t>機関へのアプローチをリードし、</t>
    </r>
    <r>
      <rPr>
        <sz val="11"/>
        <rFont val="游ゴシック"/>
        <family val="2"/>
        <charset val="1"/>
      </rPr>
      <t>1</t>
    </r>
    <r>
      <rPr>
        <sz val="11"/>
        <rFont val="Noto Sans CJK SC"/>
        <family val="2"/>
      </rPr>
      <t>件以上のプロジェクトを受注</t>
    </r>
  </si>
  <si>
    <r>
      <rPr>
        <sz val="11"/>
        <rFont val="Noto Sans CJK SC"/>
        <family val="2"/>
      </rPr>
      <t>・官公庁ビジネスの特性や年金・社会保障制度に関する社内勉強会を年</t>
    </r>
    <r>
      <rPr>
        <sz val="11"/>
        <rFont val="游ゴシック"/>
        <family val="2"/>
        <charset val="1"/>
      </rPr>
      <t>2</t>
    </r>
    <r>
      <rPr>
        <sz val="11"/>
        <rFont val="Noto Sans CJK SC"/>
        <family val="2"/>
      </rPr>
      <t>回開催</t>
    </r>
  </si>
  <si>
    <r>
      <rPr>
        <sz val="11"/>
        <rFont val="Noto Sans CJK SC"/>
        <family val="2"/>
      </rPr>
      <t>・行政</t>
    </r>
    <r>
      <rPr>
        <sz val="11"/>
        <rFont val="游ゴシック"/>
        <family val="2"/>
        <charset val="1"/>
      </rPr>
      <t>DX</t>
    </r>
    <r>
      <rPr>
        <sz val="11"/>
        <rFont val="Noto Sans CJK SC"/>
        <family val="2"/>
      </rPr>
      <t>または社会保障政策に関する論考を年</t>
    </r>
    <r>
      <rPr>
        <sz val="11"/>
        <rFont val="游ゴシック"/>
        <family val="2"/>
        <charset val="1"/>
      </rPr>
      <t>1</t>
    </r>
    <r>
      <rPr>
        <sz val="11"/>
        <rFont val="Noto Sans CJK SC"/>
        <family val="2"/>
      </rPr>
      <t>本発信</t>
    </r>
  </si>
  <si>
    <t>農林水産省・国土交通省・経済産業省</t>
  </si>
  <si>
    <t>郵政グループ</t>
  </si>
  <si>
    <r>
      <rPr>
        <sz val="11"/>
        <rFont val="Noto Sans CJK SC"/>
        <family val="2"/>
      </rPr>
      <t>・テクノロジー領域のコンサルタント経験者を年間</t>
    </r>
    <r>
      <rPr>
        <sz val="11"/>
        <rFont val="游ゴシック"/>
        <family val="2"/>
        <charset val="1"/>
      </rPr>
      <t>7</t>
    </r>
    <r>
      <rPr>
        <sz val="11"/>
        <rFont val="Noto Sans CJK SC"/>
        <family val="2"/>
      </rPr>
      <t>名以上面談し、うち</t>
    </r>
    <r>
      <rPr>
        <sz val="11"/>
        <rFont val="游ゴシック"/>
        <family val="2"/>
        <charset val="1"/>
      </rPr>
      <t>3</t>
    </r>
    <r>
      <rPr>
        <sz val="11"/>
        <rFont val="Noto Sans CJK SC"/>
        <family val="2"/>
      </rPr>
      <t>名以上の内定承諾に貢献</t>
    </r>
  </si>
  <si>
    <r>
      <rPr>
        <sz val="11"/>
        <rFont val="Noto Sans CJK SC"/>
        <family val="2"/>
      </rPr>
      <t>・新規クライアント含む</t>
    </r>
    <r>
      <rPr>
        <sz val="11"/>
        <rFont val="游ゴシック"/>
        <family val="2"/>
        <charset val="1"/>
      </rPr>
      <t>3</t>
    </r>
    <r>
      <rPr>
        <sz val="11"/>
        <rFont val="Noto Sans CJK SC"/>
        <family val="2"/>
      </rPr>
      <t>社において、</t>
    </r>
    <r>
      <rPr>
        <sz val="11"/>
        <rFont val="游ゴシック"/>
        <family val="2"/>
        <charset val="1"/>
      </rPr>
      <t>CIO</t>
    </r>
    <r>
      <rPr>
        <sz val="11"/>
        <rFont val="Noto Sans CJK SC"/>
        <family val="2"/>
      </rPr>
      <t>または</t>
    </r>
    <r>
      <rPr>
        <sz val="11"/>
        <rFont val="游ゴシック"/>
        <family val="2"/>
        <charset val="1"/>
      </rPr>
      <t>IT</t>
    </r>
    <r>
      <rPr>
        <sz val="11"/>
        <rFont val="Noto Sans CJK SC"/>
        <family val="2"/>
      </rPr>
      <t>戦略責任者との四半期ごとの戦略対話を主導</t>
    </r>
  </si>
  <si>
    <r>
      <rPr>
        <sz val="11"/>
        <rFont val="Noto Sans CJK SC"/>
        <family val="2"/>
      </rPr>
      <t>・</t>
    </r>
    <r>
      <rPr>
        <sz val="11"/>
        <rFont val="游ゴシック"/>
        <family val="2"/>
        <charset val="1"/>
      </rPr>
      <t>ERP/DX</t>
    </r>
    <r>
      <rPr>
        <sz val="11"/>
        <rFont val="Noto Sans CJK SC"/>
        <family val="2"/>
      </rPr>
      <t>ニーズを持つ新規クライアント</t>
    </r>
    <r>
      <rPr>
        <sz val="11"/>
        <rFont val="游ゴシック"/>
        <family val="2"/>
        <charset val="1"/>
      </rPr>
      <t>4</t>
    </r>
    <r>
      <rPr>
        <sz val="11"/>
        <rFont val="Noto Sans CJK SC"/>
        <family val="2"/>
      </rPr>
      <t>社へのアプローチをリードし、うち</t>
    </r>
    <r>
      <rPr>
        <sz val="11"/>
        <rFont val="游ゴシック"/>
        <family val="2"/>
        <charset val="1"/>
      </rPr>
      <t>2</t>
    </r>
    <r>
      <rPr>
        <sz val="11"/>
        <rFont val="Noto Sans CJK SC"/>
        <family val="2"/>
      </rPr>
      <t>社でパイロット案件を受注</t>
    </r>
  </si>
  <si>
    <r>
      <rPr>
        <sz val="11"/>
        <rFont val="Noto Sans CJK SC"/>
        <family val="2"/>
      </rPr>
      <t>・</t>
    </r>
    <r>
      <rPr>
        <sz val="11"/>
        <rFont val="游ゴシック"/>
        <family val="2"/>
        <charset val="1"/>
      </rPr>
      <t>ERP</t>
    </r>
    <r>
      <rPr>
        <sz val="11"/>
        <rFont val="Noto Sans CJK SC"/>
        <family val="2"/>
      </rPr>
      <t>導入手法または生成</t>
    </r>
    <r>
      <rPr>
        <sz val="11"/>
        <rFont val="游ゴシック"/>
        <family val="2"/>
        <charset val="1"/>
      </rPr>
      <t>AI</t>
    </r>
    <r>
      <rPr>
        <sz val="11"/>
        <rFont val="Noto Sans CJK SC"/>
        <family val="2"/>
      </rPr>
      <t>活用に関する社内トレーニングを年</t>
    </r>
    <r>
      <rPr>
        <sz val="11"/>
        <rFont val="游ゴシック"/>
        <family val="2"/>
        <charset val="1"/>
      </rPr>
      <t>3</t>
    </r>
    <r>
      <rPr>
        <sz val="11"/>
        <rFont val="Noto Sans CJK SC"/>
        <family val="2"/>
      </rPr>
      <t>回開催</t>
    </r>
  </si>
  <si>
    <r>
      <rPr>
        <sz val="11"/>
        <rFont val="Noto Sans CJK SC"/>
        <family val="2"/>
      </rPr>
      <t>・</t>
    </r>
    <r>
      <rPr>
        <sz val="11"/>
        <rFont val="游ゴシック"/>
        <family val="2"/>
        <charset val="1"/>
      </rPr>
      <t>DX</t>
    </r>
    <r>
      <rPr>
        <sz val="11"/>
        <rFont val="Noto Sans CJK SC"/>
        <family val="2"/>
      </rPr>
      <t>または</t>
    </r>
    <r>
      <rPr>
        <sz val="11"/>
        <rFont val="游ゴシック"/>
        <family val="2"/>
        <charset val="1"/>
      </rPr>
      <t>ERP</t>
    </r>
    <r>
      <rPr>
        <sz val="11"/>
        <rFont val="Noto Sans CJK SC"/>
        <family val="2"/>
      </rPr>
      <t>導入に関するホワイトペーパーを年</t>
    </r>
    <r>
      <rPr>
        <sz val="11"/>
        <rFont val="游ゴシック"/>
        <family val="2"/>
        <charset val="1"/>
      </rPr>
      <t>2</t>
    </r>
    <r>
      <rPr>
        <sz val="11"/>
        <rFont val="Noto Sans CJK SC"/>
        <family val="2"/>
      </rPr>
      <t>本発信</t>
    </r>
  </si>
  <si>
    <r>
      <rPr>
        <sz val="11"/>
        <rFont val="Noto Sans CJK SC"/>
        <family val="2"/>
      </rPr>
      <t>・</t>
    </r>
    <r>
      <rPr>
        <sz val="11"/>
        <rFont val="游ゴシック"/>
        <family val="2"/>
        <charset val="1"/>
      </rPr>
      <t>DX/</t>
    </r>
    <r>
      <rPr>
        <sz val="11"/>
        <rFont val="Noto Sans CJK SC"/>
        <family val="2"/>
      </rPr>
      <t>業務改革領域の経験者（</t>
    </r>
    <r>
      <rPr>
        <sz val="11"/>
        <rFont val="游ゴシック"/>
        <family val="2"/>
        <charset val="1"/>
      </rPr>
      <t>PMO</t>
    </r>
    <r>
      <rPr>
        <sz val="11"/>
        <rFont val="Noto Sans CJK SC"/>
        <family val="2"/>
      </rPr>
      <t>、</t>
    </r>
    <r>
      <rPr>
        <sz val="11"/>
        <rFont val="游ゴシック"/>
        <family val="2"/>
        <charset val="1"/>
      </rPr>
      <t>BPR</t>
    </r>
    <r>
      <rPr>
        <sz val="11"/>
        <rFont val="Noto Sans CJK SC"/>
        <family val="2"/>
      </rPr>
      <t>スペシャリスト等）を年間</t>
    </r>
    <r>
      <rPr>
        <sz val="11"/>
        <rFont val="游ゴシック"/>
        <family val="2"/>
        <charset val="1"/>
      </rPr>
      <t>5</t>
    </r>
    <r>
      <rPr>
        <sz val="11"/>
        <rFont val="Noto Sans CJK SC"/>
        <family val="2"/>
      </rPr>
      <t>名以上面談し、うち</t>
    </r>
    <r>
      <rPr>
        <sz val="11"/>
        <rFont val="游ゴシック"/>
        <family val="2"/>
        <charset val="1"/>
      </rPr>
      <t>2</t>
    </r>
    <r>
      <rPr>
        <sz val="11"/>
        <rFont val="Noto Sans CJK SC"/>
        <family val="2"/>
      </rPr>
      <t>名以上の内定承諾に貢献</t>
    </r>
  </si>
  <si>
    <r>
      <rPr>
        <sz val="11"/>
        <rFont val="Noto Sans CJK SC"/>
        <family val="2"/>
      </rPr>
      <t>・ターゲットアカウントにおいて、</t>
    </r>
    <r>
      <rPr>
        <sz val="11"/>
        <rFont val="游ゴシック"/>
        <family val="2"/>
        <charset val="1"/>
      </rPr>
      <t>CIO</t>
    </r>
    <r>
      <rPr>
        <sz val="11"/>
        <rFont val="Noto Sans CJK SC"/>
        <family val="2"/>
      </rPr>
      <t>または</t>
    </r>
    <r>
      <rPr>
        <sz val="11"/>
        <rFont val="游ゴシック"/>
        <family val="2"/>
        <charset val="1"/>
      </rPr>
      <t>CDO</t>
    </r>
    <r>
      <rPr>
        <sz val="11"/>
        <rFont val="Noto Sans CJK SC"/>
        <family val="2"/>
      </rPr>
      <t>レベルとの定期的な関係構築を推進</t>
    </r>
  </si>
  <si>
    <r>
      <rPr>
        <sz val="11"/>
        <rFont val="Noto Sans CJK SC"/>
        <family val="2"/>
      </rPr>
      <t>・大規模プログラム推進や業務改革ニーズを持つ新規クライアント</t>
    </r>
    <r>
      <rPr>
        <sz val="11"/>
        <rFont val="游ゴシック"/>
        <family val="2"/>
        <charset val="1"/>
      </rPr>
      <t>3</t>
    </r>
    <r>
      <rPr>
        <sz val="11"/>
        <rFont val="Noto Sans CJK SC"/>
        <family val="2"/>
      </rPr>
      <t>社へアプローチし、うち</t>
    </r>
    <r>
      <rPr>
        <sz val="11"/>
        <rFont val="游ゴシック"/>
        <family val="2"/>
        <charset val="1"/>
      </rPr>
      <t>1</t>
    </r>
    <r>
      <rPr>
        <sz val="11"/>
        <rFont val="Noto Sans CJK SC"/>
        <family val="2"/>
      </rPr>
      <t>社でパイロット案件を受注</t>
    </r>
  </si>
  <si>
    <r>
      <rPr>
        <sz val="11"/>
        <rFont val="Noto Sans CJK SC"/>
        <family val="2"/>
      </rPr>
      <t>・大規模プログラム推進手法に関する社内トレーニングを年</t>
    </r>
    <r>
      <rPr>
        <sz val="11"/>
        <rFont val="游ゴシック"/>
        <family val="2"/>
        <charset val="1"/>
      </rPr>
      <t>1</t>
    </r>
    <r>
      <rPr>
        <sz val="11"/>
        <rFont val="Noto Sans CJK SC"/>
        <family val="2"/>
      </rPr>
      <t>回開催し、</t>
    </r>
    <r>
      <rPr>
        <sz val="11"/>
        <rFont val="游ゴシック"/>
        <family val="2"/>
        <charset val="1"/>
      </rPr>
      <t>PM</t>
    </r>
    <r>
      <rPr>
        <sz val="11"/>
        <rFont val="Noto Sans CJK SC"/>
        <family val="2"/>
      </rPr>
      <t>・</t>
    </r>
    <r>
      <rPr>
        <sz val="11"/>
        <rFont val="游ゴシック"/>
        <family val="2"/>
        <charset val="1"/>
      </rPr>
      <t>PMO</t>
    </r>
    <r>
      <rPr>
        <sz val="11"/>
        <rFont val="Noto Sans CJK SC"/>
        <family val="2"/>
      </rPr>
      <t>スキルの底上げを図る</t>
    </r>
  </si>
  <si>
    <r>
      <rPr>
        <sz val="11"/>
        <rFont val="Noto Sans CJK SC"/>
        <family val="2"/>
      </rPr>
      <t>・</t>
    </r>
    <r>
      <rPr>
        <sz val="11"/>
        <rFont val="游ゴシック"/>
        <family val="2"/>
        <charset val="1"/>
      </rPr>
      <t>DX</t>
    </r>
    <r>
      <rPr>
        <sz val="11"/>
        <rFont val="Noto Sans CJK SC"/>
        <family val="2"/>
      </rPr>
      <t>推進やプログラムマネジメントに関するホワイトペーパーを年</t>
    </r>
    <r>
      <rPr>
        <sz val="11"/>
        <rFont val="游ゴシック"/>
        <family val="2"/>
        <charset val="1"/>
      </rPr>
      <t>1</t>
    </r>
    <r>
      <rPr>
        <sz val="11"/>
        <rFont val="Noto Sans CJK SC"/>
        <family val="2"/>
      </rPr>
      <t>本発信</t>
    </r>
  </si>
  <si>
    <r>
      <rPr>
        <sz val="11"/>
        <rFont val="游ゴシック"/>
        <family val="3"/>
        <charset val="128"/>
      </rPr>
      <t>NTT</t>
    </r>
    <r>
      <rPr>
        <sz val="11"/>
        <rFont val="Noto Sans CJK SC"/>
        <family val="2"/>
      </rPr>
      <t>データ・</t>
    </r>
    <r>
      <rPr>
        <sz val="11"/>
        <rFont val="游ゴシック"/>
        <family val="3"/>
        <charset val="128"/>
      </rPr>
      <t>KDDI</t>
    </r>
  </si>
  <si>
    <r>
      <rPr>
        <sz val="11"/>
        <rFont val="Noto Sans CJK SC"/>
        <family val="2"/>
      </rPr>
      <t>・通信業界の戦略コンサルタント経験者を年間</t>
    </r>
    <r>
      <rPr>
        <sz val="11"/>
        <rFont val="游ゴシック"/>
        <family val="2"/>
        <charset val="1"/>
      </rPr>
      <t>7</t>
    </r>
    <r>
      <rPr>
        <sz val="11"/>
        <rFont val="Noto Sans CJK SC"/>
        <family val="2"/>
      </rPr>
      <t>名以上面談し、うち</t>
    </r>
    <r>
      <rPr>
        <sz val="11"/>
        <rFont val="游ゴシック"/>
        <family val="2"/>
        <charset val="1"/>
      </rPr>
      <t>3</t>
    </r>
    <r>
      <rPr>
        <sz val="11"/>
        <rFont val="Noto Sans CJK SC"/>
        <family val="2"/>
      </rPr>
      <t>名以上の内定承諾に貢献</t>
    </r>
  </si>
  <si>
    <r>
      <rPr>
        <sz val="11"/>
        <rFont val="Noto Sans CJK SC"/>
        <family val="2"/>
      </rPr>
      <t>・既存クライアントにおいて、部門責任者または</t>
    </r>
    <r>
      <rPr>
        <sz val="11"/>
        <rFont val="游ゴシック"/>
        <family val="2"/>
        <charset val="1"/>
      </rPr>
      <t>CXO</t>
    </r>
    <r>
      <rPr>
        <sz val="11"/>
        <rFont val="Noto Sans CJK SC"/>
        <family val="2"/>
      </rPr>
      <t>レベルとの四半期ごとの戦略対話を主導</t>
    </r>
  </si>
  <si>
    <r>
      <rPr>
        <sz val="11"/>
        <rFont val="Noto Sans CJK SC"/>
        <family val="2"/>
      </rPr>
      <t>・既存顧客及び関連会社へのアプローチをリードし、うち</t>
    </r>
    <r>
      <rPr>
        <sz val="11"/>
        <rFont val="游ゴシック"/>
        <family val="2"/>
        <charset val="1"/>
      </rPr>
      <t>2</t>
    </r>
    <r>
      <rPr>
        <sz val="11"/>
        <rFont val="Noto Sans CJK SC"/>
        <family val="2"/>
      </rPr>
      <t>社で大型案件を受注</t>
    </r>
  </si>
  <si>
    <r>
      <rPr>
        <sz val="11"/>
        <rFont val="Noto Sans CJK SC"/>
        <family val="2"/>
      </rPr>
      <t>・通信業界の事業戦略立案手法に関する社内トレーニングを年</t>
    </r>
    <r>
      <rPr>
        <sz val="11"/>
        <rFont val="游ゴシック"/>
        <family val="2"/>
        <charset val="1"/>
      </rPr>
      <t>3</t>
    </r>
    <r>
      <rPr>
        <sz val="11"/>
        <rFont val="Noto Sans CJK SC"/>
        <family val="2"/>
      </rPr>
      <t>回開催</t>
    </r>
  </si>
  <si>
    <r>
      <rPr>
        <sz val="11"/>
        <rFont val="Noto Sans CJK SC"/>
        <family val="2"/>
      </rPr>
      <t>・</t>
    </r>
    <r>
      <rPr>
        <sz val="11"/>
        <rFont val="游ゴシック"/>
        <family val="2"/>
        <charset val="1"/>
      </rPr>
      <t>Future of Telecom</t>
    </r>
    <r>
      <rPr>
        <sz val="11"/>
        <rFont val="Noto Sans CJK SC"/>
        <family val="2"/>
      </rPr>
      <t>シリーズに類する通信業界の未来デザインに関するホワイトペーパーを年</t>
    </r>
    <r>
      <rPr>
        <sz val="11"/>
        <rFont val="游ゴシック"/>
        <family val="2"/>
        <charset val="1"/>
      </rPr>
      <t>1</t>
    </r>
    <r>
      <rPr>
        <sz val="11"/>
        <rFont val="Noto Sans CJK SC"/>
        <family val="2"/>
      </rPr>
      <t>本発信</t>
    </r>
  </si>
  <si>
    <t>Transportation</t>
  </si>
  <si>
    <r>
      <rPr>
        <sz val="11"/>
        <rFont val="游ゴシック"/>
        <family val="3"/>
        <charset val="128"/>
      </rPr>
      <t>ANA</t>
    </r>
    <r>
      <rPr>
        <sz val="11"/>
        <rFont val="Noto Sans CJK SC"/>
        <family val="2"/>
      </rPr>
      <t>・</t>
    </r>
    <r>
      <rPr>
        <sz val="11"/>
        <rFont val="游ゴシック"/>
        <family val="3"/>
        <charset val="128"/>
      </rPr>
      <t>JAL</t>
    </r>
  </si>
  <si>
    <r>
      <rPr>
        <sz val="11"/>
        <rFont val="Noto Sans CJK SC"/>
        <family val="2"/>
      </rPr>
      <t>・運輸業界に専門性のある戦略コンサルタント経験者を年間</t>
    </r>
    <r>
      <rPr>
        <sz val="11"/>
        <rFont val="游ゴシック"/>
        <family val="2"/>
        <charset val="1"/>
      </rPr>
      <t>7</t>
    </r>
    <r>
      <rPr>
        <sz val="11"/>
        <rFont val="Noto Sans CJK SC"/>
        <family val="2"/>
      </rPr>
      <t>名以上面談し、うち</t>
    </r>
    <r>
      <rPr>
        <sz val="11"/>
        <rFont val="游ゴシック"/>
        <family val="2"/>
        <charset val="1"/>
      </rPr>
      <t>3</t>
    </r>
    <r>
      <rPr>
        <sz val="11"/>
        <rFont val="Noto Sans CJK SC"/>
        <family val="2"/>
      </rPr>
      <t>名以上の内定承諾に貢献</t>
    </r>
  </si>
  <si>
    <r>
      <rPr>
        <sz val="11"/>
        <rFont val="Noto Sans CJK SC"/>
        <family val="2"/>
      </rPr>
      <t>・既存クライアント</t>
    </r>
    <r>
      <rPr>
        <sz val="11"/>
        <rFont val="游ゴシック"/>
        <family val="2"/>
        <charset val="1"/>
      </rPr>
      <t>3</t>
    </r>
    <r>
      <rPr>
        <sz val="11"/>
        <rFont val="Noto Sans CJK SC"/>
        <family val="2"/>
      </rPr>
      <t>社において、経営トップまたは事業責任者レベルとの四半期ごとの戦略ディスカッションを主導</t>
    </r>
  </si>
  <si>
    <r>
      <rPr>
        <sz val="11"/>
        <rFont val="Noto Sans CJK SC"/>
        <family val="2"/>
      </rPr>
      <t>・新規クライアント</t>
    </r>
    <r>
      <rPr>
        <sz val="11"/>
        <rFont val="游ゴシック"/>
        <family val="2"/>
        <charset val="1"/>
      </rPr>
      <t>5</t>
    </r>
    <r>
      <rPr>
        <sz val="11"/>
        <rFont val="Noto Sans CJK SC"/>
        <family val="2"/>
      </rPr>
      <t>社へのアプローチをリードし、うち</t>
    </r>
    <r>
      <rPr>
        <sz val="11"/>
        <rFont val="游ゴシック"/>
        <family val="2"/>
        <charset val="1"/>
      </rPr>
      <t>3</t>
    </r>
    <r>
      <rPr>
        <sz val="11"/>
        <rFont val="Noto Sans CJK SC"/>
        <family val="2"/>
      </rPr>
      <t>社でパイロット案件を受注</t>
    </r>
  </si>
  <si>
    <r>
      <rPr>
        <sz val="11"/>
        <rFont val="Noto Sans CJK SC"/>
        <family val="2"/>
      </rPr>
      <t>・運輸業界の事業戦略立案手法に関する社内トレーニングを年</t>
    </r>
    <r>
      <rPr>
        <sz val="11"/>
        <rFont val="游ゴシック"/>
        <family val="2"/>
        <charset val="1"/>
      </rPr>
      <t>3</t>
    </r>
    <r>
      <rPr>
        <sz val="11"/>
        <rFont val="Noto Sans CJK SC"/>
        <family val="2"/>
      </rPr>
      <t>回開催</t>
    </r>
  </si>
  <si>
    <r>
      <rPr>
        <sz val="11"/>
        <rFont val="Noto Sans CJK SC"/>
        <family val="2"/>
      </rPr>
      <t>・製造業または小売業の成長戦略に関するホワイトペーパーを年</t>
    </r>
    <r>
      <rPr>
        <sz val="11"/>
        <rFont val="游ゴシック"/>
        <family val="2"/>
        <charset val="1"/>
      </rPr>
      <t>1</t>
    </r>
    <r>
      <rPr>
        <sz val="11"/>
        <rFont val="Noto Sans CJK SC"/>
        <family val="2"/>
      </rPr>
      <t>本発信</t>
    </r>
  </si>
  <si>
    <t>GRC</t>
  </si>
  <si>
    <r>
      <rPr>
        <b/>
        <sz val="10"/>
        <rFont val="Noto Sans CJK SC"/>
        <family val="2"/>
      </rPr>
      <t>月次バックデータ：入社日起点で年間値を月次按分（</t>
    </r>
    <r>
      <rPr>
        <b/>
        <sz val="10"/>
        <rFont val="游ゴシック"/>
        <family val="2"/>
        <charset val="1"/>
      </rPr>
      <t>2024/7</t>
    </r>
    <r>
      <rPr>
        <b/>
        <sz val="10"/>
        <rFont val="Noto Sans CJK SC"/>
        <family val="2"/>
      </rPr>
      <t>〜</t>
    </r>
    <r>
      <rPr>
        <b/>
        <sz val="10"/>
        <rFont val="游ゴシック"/>
        <family val="2"/>
        <charset val="1"/>
      </rPr>
      <t>2029/7</t>
    </r>
    <r>
      <rPr>
        <b/>
        <sz val="10"/>
        <rFont val="Noto Sans CJK SC"/>
        <family val="2"/>
      </rPr>
      <t>、単位：百万円）。</t>
    </r>
    <r>
      <rPr>
        <b/>
        <sz val="10"/>
        <rFont val="游ゴシック"/>
        <family val="2"/>
        <charset val="1"/>
      </rPr>
      <t>FY27</t>
    </r>
    <r>
      <rPr>
        <b/>
        <sz val="10"/>
        <rFont val="Noto Sans CJK SC"/>
        <family val="2"/>
      </rPr>
      <t>目標設定は</t>
    </r>
    <r>
      <rPr>
        <b/>
        <sz val="10"/>
        <rFont val="游ゴシック"/>
        <family val="2"/>
        <charset val="1"/>
      </rPr>
      <t>B</t>
    </r>
    <r>
      <rPr>
        <b/>
        <sz val="10"/>
        <rFont val="Noto Sans CJK SC"/>
        <family val="2"/>
      </rPr>
      <t>・</t>
    </r>
    <r>
      <rPr>
        <b/>
        <sz val="10"/>
        <rFont val="游ゴシック"/>
        <family val="2"/>
        <charset val="1"/>
      </rPr>
      <t>E</t>
    </r>
    <r>
      <rPr>
        <b/>
        <sz val="10"/>
        <rFont val="Noto Sans CJK SC"/>
        <family val="2"/>
      </rPr>
      <t>・</t>
    </r>
    <r>
      <rPr>
        <b/>
        <sz val="10"/>
        <rFont val="游ゴシック"/>
        <family val="2"/>
        <charset val="1"/>
      </rPr>
      <t>H</t>
    </r>
    <r>
      <rPr>
        <b/>
        <sz val="10"/>
        <rFont val="Noto Sans CJK SC"/>
        <family val="2"/>
      </rPr>
      <t>〜</t>
    </r>
    <r>
      <rPr>
        <b/>
        <sz val="10"/>
        <rFont val="游ゴシック"/>
        <family val="2"/>
        <charset val="1"/>
      </rPr>
      <t>J</t>
    </r>
    <r>
      <rPr>
        <b/>
        <sz val="10"/>
        <rFont val="Noto Sans CJK SC"/>
        <family val="2"/>
      </rPr>
      <t>・</t>
    </r>
    <r>
      <rPr>
        <b/>
        <sz val="10"/>
        <rFont val="游ゴシック"/>
        <family val="2"/>
        <charset val="1"/>
      </rPr>
      <t>M</t>
    </r>
    <r>
      <rPr>
        <b/>
        <sz val="10"/>
        <rFont val="Noto Sans CJK SC"/>
        <family val="2"/>
      </rPr>
      <t>列を列全体参照</t>
    </r>
  </si>
  <si>
    <r>
      <rPr>
        <sz val="8"/>
        <color rgb="FF808080"/>
        <rFont val="Noto Sans CJK SC"/>
        <family val="2"/>
      </rPr>
      <t>按分方式：「入社年」＝入社日起点で</t>
    </r>
    <r>
      <rPr>
        <sz val="8"/>
        <color rgb="FF808080"/>
        <rFont val="游ゴシック"/>
        <family val="2"/>
        <charset val="1"/>
      </rPr>
      <t>1</t>
    </r>
    <r>
      <rPr>
        <sz val="8"/>
        <color rgb="FF808080"/>
        <rFont val="Noto Sans CJK SC"/>
        <family val="2"/>
      </rPr>
      <t>〜</t>
    </r>
    <r>
      <rPr>
        <sz val="8"/>
        <color rgb="FF808080"/>
        <rFont val="游ゴシック"/>
        <family val="2"/>
        <charset val="1"/>
      </rPr>
      <t>3</t>
    </r>
    <r>
      <rPr>
        <sz val="8"/>
        <color rgb="FF808080"/>
        <rFont val="Noto Sans CJK SC"/>
        <family val="2"/>
      </rPr>
      <t>年目の年額を</t>
    </r>
    <r>
      <rPr>
        <sz val="8"/>
        <color rgb="FF808080"/>
        <rFont val="游ゴシック"/>
        <family val="2"/>
        <charset val="1"/>
      </rPr>
      <t>1/12</t>
    </r>
    <r>
      <rPr>
        <sz val="8"/>
        <color rgb="FF808080"/>
        <rFont val="Noto Sans CJK SC"/>
        <family val="2"/>
      </rPr>
      <t>ずつ配賦／「</t>
    </r>
    <r>
      <rPr>
        <sz val="8"/>
        <color rgb="FF808080"/>
        <rFont val="游ゴシック"/>
        <family val="2"/>
        <charset val="1"/>
      </rPr>
      <t>FY</t>
    </r>
    <r>
      <rPr>
        <sz val="8"/>
        <color rgb="FF808080"/>
        <rFont val="Noto Sans CJK SC"/>
        <family val="2"/>
      </rPr>
      <t>表記」＝</t>
    </r>
    <r>
      <rPr>
        <sz val="8"/>
        <color rgb="FF808080"/>
        <rFont val="游ゴシック"/>
        <family val="2"/>
        <charset val="1"/>
      </rPr>
      <t>H</t>
    </r>
    <r>
      <rPr>
        <sz val="8"/>
        <color rgb="FF808080"/>
        <rFont val="Noto Sans CJK SC"/>
        <family val="2"/>
      </rPr>
      <t>〜</t>
    </r>
    <r>
      <rPr>
        <sz val="8"/>
        <color rgb="FF808080"/>
        <rFont val="游ゴシック"/>
        <family val="2"/>
        <charset val="1"/>
      </rPr>
      <t>J</t>
    </r>
    <r>
      <rPr>
        <sz val="8"/>
        <color rgb="FF808080"/>
        <rFont val="Noto Sans CJK SC"/>
        <family val="2"/>
      </rPr>
      <t>列を</t>
    </r>
    <r>
      <rPr>
        <sz val="8"/>
        <color rgb="FF808080"/>
        <rFont val="游ゴシック"/>
        <family val="2"/>
        <charset val="1"/>
      </rPr>
      <t>FY26/27/28</t>
    </r>
    <r>
      <rPr>
        <sz val="8"/>
        <color rgb="FF808080"/>
        <rFont val="Noto Sans CJK SC"/>
        <family val="2"/>
      </rPr>
      <t>の年額として</t>
    </r>
    <r>
      <rPr>
        <sz val="8"/>
        <color rgb="FF808080"/>
        <rFont val="游ゴシック"/>
        <family val="2"/>
        <charset val="1"/>
      </rPr>
      <t>FY</t>
    </r>
    <r>
      <rPr>
        <sz val="8"/>
        <color rgb="FF808080"/>
        <rFont val="Noto Sans CJK SC"/>
        <family val="2"/>
      </rPr>
      <t>の全月に</t>
    </r>
    <r>
      <rPr>
        <sz val="8"/>
        <color rgb="FF808080"/>
        <rFont val="游ゴシック"/>
        <family val="2"/>
        <charset val="1"/>
      </rPr>
      <t>1/12</t>
    </r>
    <r>
      <rPr>
        <sz val="8"/>
        <color rgb="FF808080"/>
        <rFont val="Noto Sans CJK SC"/>
        <family val="2"/>
      </rPr>
      <t>ずつ配賦（入社前の月はグレー表示・</t>
    </r>
    <r>
      <rPr>
        <sz val="8"/>
        <color rgb="FF808080"/>
        <rFont val="游ゴシック"/>
        <family val="2"/>
        <charset val="1"/>
      </rPr>
      <t>FY</t>
    </r>
    <r>
      <rPr>
        <sz val="8"/>
        <color rgb="FF808080"/>
        <rFont val="Noto Sans CJK SC"/>
        <family val="2"/>
      </rPr>
      <t>計には不算入）／「</t>
    </r>
    <r>
      <rPr>
        <sz val="8"/>
        <color rgb="FF808080"/>
        <rFont val="游ゴシック"/>
        <family val="2"/>
        <charset val="1"/>
      </rPr>
      <t>FY</t>
    </r>
    <r>
      <rPr>
        <sz val="8"/>
        <color rgb="FF808080"/>
        <rFont val="Noto Sans CJK SC"/>
        <family val="2"/>
      </rPr>
      <t>表記</t>
    </r>
    <r>
      <rPr>
        <sz val="8"/>
        <color rgb="FF808080"/>
        <rFont val="游ゴシック"/>
        <family val="2"/>
        <charset val="1"/>
      </rPr>
      <t>(</t>
    </r>
    <r>
      <rPr>
        <sz val="8"/>
        <color rgb="FF808080"/>
        <rFont val="Noto Sans CJK SC"/>
        <family val="2"/>
      </rPr>
      <t>在籍月割</t>
    </r>
    <r>
      <rPr>
        <sz val="8"/>
        <color rgb="FF808080"/>
        <rFont val="游ゴシック"/>
        <family val="2"/>
        <charset val="1"/>
      </rPr>
      <t>)</t>
    </r>
    <r>
      <rPr>
        <sz val="8"/>
        <color rgb="FF808080"/>
        <rFont val="Noto Sans CJK SC"/>
        <family val="2"/>
      </rPr>
      <t>」＝</t>
    </r>
    <r>
      <rPr>
        <sz val="8"/>
        <color rgb="FF808080"/>
        <rFont val="游ゴシック"/>
        <family val="2"/>
        <charset val="1"/>
      </rPr>
      <t>FY</t>
    </r>
    <r>
      <rPr>
        <sz val="8"/>
        <color rgb="FF808080"/>
        <rFont val="Noto Sans CJK SC"/>
        <family val="2"/>
      </rPr>
      <t>年額を入社後の在籍月数で割って配賦（藤川さん：</t>
    </r>
    <r>
      <rPr>
        <sz val="8"/>
        <color rgb="FF808080"/>
        <rFont val="游ゴシック"/>
        <family val="2"/>
        <charset val="1"/>
      </rPr>
      <t>BP</t>
    </r>
    <r>
      <rPr>
        <sz val="8"/>
        <color rgb="FF808080"/>
        <rFont val="Noto Sans CJK SC"/>
        <family val="2"/>
      </rPr>
      <t>が入社時期考慮済みのため）。</t>
    </r>
    <r>
      <rPr>
        <sz val="8"/>
        <color rgb="FF808080"/>
        <rFont val="游ゴシック"/>
        <family val="2"/>
        <charset val="1"/>
      </rPr>
      <t>FY25</t>
    </r>
    <r>
      <rPr>
        <sz val="8"/>
        <color rgb="FF808080"/>
        <rFont val="Noto Sans CJK SC"/>
        <family val="2"/>
      </rPr>
      <t>〜</t>
    </r>
    <r>
      <rPr>
        <sz val="8"/>
        <color rgb="FF808080"/>
        <rFont val="游ゴシック"/>
        <family val="2"/>
        <charset val="1"/>
      </rPr>
      <t>27</t>
    </r>
    <r>
      <rPr>
        <sz val="8"/>
        <color rgb="FF808080"/>
        <rFont val="Noto Sans CJK SC"/>
        <family val="2"/>
      </rPr>
      <t>計は入社日以降の月のみを合計。</t>
    </r>
  </si>
  <si>
    <r>
      <rPr>
        <b/>
        <sz val="9"/>
        <rFont val="Noto Sans CJK SC"/>
        <family val="2"/>
      </rPr>
      <t>所属</t>
    </r>
    <r>
      <rPr>
        <b/>
        <sz val="9"/>
        <rFont val="游ゴシック"/>
        <family val="2"/>
        <charset val="1"/>
      </rPr>
      <t>Practice</t>
    </r>
  </si>
  <si>
    <t>指標</t>
  </si>
  <si>
    <t>按分方式</t>
  </si>
  <si>
    <r>
      <rPr>
        <b/>
        <sz val="9"/>
        <rFont val="游ゴシック"/>
        <family val="3"/>
        <charset val="128"/>
      </rPr>
      <t>FY25</t>
    </r>
    <r>
      <rPr>
        <b/>
        <sz val="9"/>
        <rFont val="Noto Sans CJK SC"/>
        <family val="2"/>
      </rPr>
      <t>計</t>
    </r>
  </si>
  <si>
    <r>
      <rPr>
        <b/>
        <sz val="9"/>
        <rFont val="游ゴシック"/>
        <family val="3"/>
        <charset val="128"/>
      </rPr>
      <t>FY26</t>
    </r>
    <r>
      <rPr>
        <b/>
        <sz val="9"/>
        <rFont val="Noto Sans CJK SC"/>
        <family val="2"/>
      </rPr>
      <t>計</t>
    </r>
  </si>
  <si>
    <r>
      <rPr>
        <b/>
        <sz val="9"/>
        <rFont val="游ゴシック"/>
        <family val="3"/>
        <charset val="128"/>
      </rPr>
      <t>FY27</t>
    </r>
    <r>
      <rPr>
        <b/>
        <sz val="9"/>
        <rFont val="Noto Sans CJK SC"/>
        <family val="2"/>
      </rPr>
      <t>計</t>
    </r>
  </si>
  <si>
    <r>
      <rPr>
        <sz val="9"/>
        <rFont val="游ゴシック"/>
        <family val="3"/>
        <charset val="128"/>
      </rPr>
      <t>AI</t>
    </r>
    <r>
      <rPr>
        <sz val="9"/>
        <rFont val="Noto Sans CJK SC"/>
        <family val="2"/>
      </rPr>
      <t>＆</t>
    </r>
    <r>
      <rPr>
        <sz val="9"/>
        <rFont val="游ゴシック"/>
        <family val="3"/>
        <charset val="128"/>
      </rPr>
      <t>Data</t>
    </r>
  </si>
  <si>
    <r>
      <rPr>
        <sz val="9"/>
        <rFont val="游ゴシック"/>
        <family val="3"/>
        <charset val="128"/>
      </rPr>
      <t>FY</t>
    </r>
    <r>
      <rPr>
        <sz val="9"/>
        <rFont val="Noto Sans CJK SC"/>
        <family val="2"/>
      </rPr>
      <t>表記</t>
    </r>
  </si>
  <si>
    <t>入社年</t>
  </si>
  <si>
    <r>
      <rPr>
        <sz val="9"/>
        <rFont val="游ゴシック"/>
        <family val="3"/>
        <charset val="128"/>
      </rPr>
      <t>Consumer</t>
    </r>
    <r>
      <rPr>
        <sz val="9"/>
        <rFont val="Noto Sans CJK SC"/>
        <family val="2"/>
      </rPr>
      <t>＆</t>
    </r>
    <r>
      <rPr>
        <sz val="9"/>
        <rFont val="游ゴシック"/>
        <family val="3"/>
        <charset val="128"/>
      </rPr>
      <t>Retail</t>
    </r>
  </si>
  <si>
    <r>
      <rPr>
        <sz val="9"/>
        <rFont val="游ゴシック"/>
        <family val="3"/>
        <charset val="128"/>
      </rPr>
      <t>FY</t>
    </r>
    <r>
      <rPr>
        <sz val="9"/>
        <rFont val="Noto Sans CJK SC"/>
        <family val="2"/>
      </rPr>
      <t>表記</t>
    </r>
    <r>
      <rPr>
        <sz val="9"/>
        <rFont val="游ゴシック"/>
        <family val="3"/>
        <charset val="128"/>
      </rPr>
      <t>(</t>
    </r>
    <r>
      <rPr>
        <sz val="9"/>
        <rFont val="Noto Sans CJK SC"/>
        <family val="2"/>
      </rPr>
      <t>在籍月割</t>
    </r>
    <r>
      <rPr>
        <sz val="9"/>
        <rFont val="游ゴシック"/>
        <family val="3"/>
        <charset val="128"/>
      </rPr>
      <t>)</t>
    </r>
  </si>
  <si>
    <r>
      <rPr>
        <sz val="9"/>
        <rFont val="游ゴシック"/>
        <family val="3"/>
        <charset val="128"/>
      </rPr>
      <t>GRC</t>
    </r>
    <r>
      <rPr>
        <sz val="9"/>
        <rFont val="Noto Sans CJK SC"/>
        <family val="2"/>
      </rPr>
      <t>（</t>
    </r>
    <r>
      <rPr>
        <sz val="9"/>
        <rFont val="游ゴシック"/>
        <family val="3"/>
        <charset val="128"/>
      </rPr>
      <t>G&amp;C</t>
    </r>
    <r>
      <rPr>
        <sz val="9"/>
        <rFont val="Noto Sans CJK SC"/>
        <family val="2"/>
      </rPr>
      <t>）</t>
    </r>
  </si>
  <si>
    <r>
      <rPr>
        <sz val="8"/>
        <color rgb="FF808080"/>
        <rFont val="Noto Sans CJK SC"/>
        <family val="2"/>
      </rPr>
      <t>※グレーの月＝入社前（</t>
    </r>
    <r>
      <rPr>
        <sz val="8"/>
        <color rgb="FF808080"/>
        <rFont val="游ゴシック"/>
        <family val="2"/>
        <charset val="1"/>
      </rPr>
      <t>FY</t>
    </r>
    <r>
      <rPr>
        <sz val="8"/>
        <color rgb="FF808080"/>
        <rFont val="Noto Sans CJK SC"/>
        <family val="2"/>
      </rPr>
      <t>表記のプラン数値は表示するが</t>
    </r>
    <r>
      <rPr>
        <sz val="8"/>
        <color rgb="FF808080"/>
        <rFont val="游ゴシック"/>
        <family val="2"/>
        <charset val="1"/>
      </rPr>
      <t>FY</t>
    </r>
    <r>
      <rPr>
        <sz val="8"/>
        <color rgb="FF808080"/>
        <rFont val="Noto Sans CJK SC"/>
        <family val="2"/>
      </rPr>
      <t>計には含めない）。入社年方式は入社後</t>
    </r>
    <r>
      <rPr>
        <sz val="8"/>
        <color rgb="FF808080"/>
        <rFont val="游ゴシック"/>
        <family val="2"/>
        <charset val="1"/>
      </rPr>
      <t>36</t>
    </r>
    <r>
      <rPr>
        <sz val="8"/>
        <color rgb="FF808080"/>
        <rFont val="Noto Sans CJK SC"/>
        <family val="2"/>
      </rPr>
      <t>カ月（</t>
    </r>
    <r>
      <rPr>
        <sz val="8"/>
        <color rgb="FF808080"/>
        <rFont val="游ゴシック"/>
        <family val="2"/>
        <charset val="1"/>
      </rPr>
      <t>3</t>
    </r>
    <r>
      <rPr>
        <sz val="8"/>
        <color rgb="FF808080"/>
        <rFont val="Noto Sans CJK SC"/>
        <family val="2"/>
      </rPr>
      <t>年目まで）のみ配賦。</t>
    </r>
  </si>
  <si>
    <r>
      <rPr>
        <sz val="8"/>
        <color rgb="FF808080"/>
        <rFont val="游ゴシック"/>
        <family val="3"/>
        <charset val="128"/>
      </rPr>
      <t>※FY25</t>
    </r>
    <r>
      <rPr>
        <sz val="8"/>
        <color rgb="FF808080"/>
        <rFont val="Noto Sans CJK SC"/>
        <family val="2"/>
      </rPr>
      <t>計〜</t>
    </r>
    <r>
      <rPr>
        <sz val="8"/>
        <color rgb="FF808080"/>
        <rFont val="游ゴシック"/>
        <family val="3"/>
        <charset val="128"/>
      </rPr>
      <t>FY27</t>
    </r>
    <r>
      <rPr>
        <sz val="8"/>
        <color rgb="FF808080"/>
        <rFont val="Noto Sans CJK SC"/>
        <family val="2"/>
      </rPr>
      <t>計は</t>
    </r>
    <r>
      <rPr>
        <sz val="8"/>
        <color rgb="FF808080"/>
        <rFont val="游ゴシック"/>
        <family val="3"/>
        <charset val="128"/>
      </rPr>
      <t>SUMPRODUCT</t>
    </r>
    <r>
      <rPr>
        <sz val="8"/>
        <color rgb="FF808080"/>
        <rFont val="Noto Sans CJK SC"/>
        <family val="2"/>
      </rPr>
      <t>で入社日以降の月のみを合計。検算用に月次は</t>
    </r>
    <r>
      <rPr>
        <sz val="8"/>
        <color rgb="FF808080"/>
        <rFont val="游ゴシック"/>
        <family val="3"/>
        <charset val="128"/>
      </rPr>
      <t>2029/7</t>
    </r>
    <r>
      <rPr>
        <sz val="8"/>
        <color rgb="FF808080"/>
        <rFont val="Noto Sans CJK SC"/>
        <family val="2"/>
      </rPr>
      <t>（最終入社者の</t>
    </r>
    <r>
      <rPr>
        <sz val="8"/>
        <color rgb="FF808080"/>
        <rFont val="游ゴシック"/>
        <family val="3"/>
        <charset val="128"/>
      </rPr>
      <t>3</t>
    </r>
    <r>
      <rPr>
        <sz val="8"/>
        <color rgb="FF808080"/>
        <rFont val="Noto Sans CJK SC"/>
        <family val="2"/>
      </rPr>
      <t>年目相当）まで表示。</t>
    </r>
  </si>
  <si>
    <t>1年目</t>
    <phoneticPr fontId="45"/>
  </si>
  <si>
    <r>
      <rPr>
        <b/>
        <sz val="9"/>
        <rFont val="游ゴシック"/>
        <family val="3"/>
        <charset val="128"/>
      </rPr>
      <t>2</t>
    </r>
    <r>
      <rPr>
        <b/>
        <sz val="9"/>
        <rFont val="ＭＳ ゴシック"/>
        <family val="3"/>
        <charset val="128"/>
      </rPr>
      <t>年目</t>
    </r>
    <phoneticPr fontId="45"/>
  </si>
  <si>
    <r>
      <rPr>
        <b/>
        <sz val="9"/>
        <rFont val="游ゴシック"/>
        <family val="3"/>
        <charset val="128"/>
      </rPr>
      <t>3</t>
    </r>
    <r>
      <rPr>
        <b/>
        <sz val="9"/>
        <rFont val="ＭＳ ゴシック"/>
        <family val="3"/>
        <charset val="128"/>
      </rPr>
      <t>年目</t>
    </r>
    <phoneticPr fontId="45"/>
  </si>
  <si>
    <t>D</t>
    <phoneticPr fontId="45"/>
  </si>
  <si>
    <t>十河</t>
    <rPh sb="0" eb="2">
      <t>トガワ</t>
    </rPh>
    <phoneticPr fontId="45"/>
  </si>
  <si>
    <t>計</t>
    <rPh sb="0" eb="1">
      <t>ケイ</t>
    </rPh>
    <phoneticPr fontId="45"/>
  </si>
  <si>
    <t>ネット売上</t>
    <phoneticPr fontId="45"/>
  </si>
  <si>
    <t>組織稼働率</t>
    <rPh sb="0" eb="2">
      <t>ソシキ</t>
    </rPh>
    <phoneticPr fontId="45"/>
  </si>
  <si>
    <t>-</t>
    <phoneticPr fontId="45"/>
  </si>
  <si>
    <t>Financial Service</t>
  </si>
  <si>
    <t>Cyber Security</t>
  </si>
  <si>
    <t>Automotive &amp; Mobility Sector</t>
  </si>
  <si>
    <t>Consumer &amp; Retail</t>
  </si>
  <si>
    <t>AI &amp; Data</t>
  </si>
  <si>
    <t>Power&amp;Utilities</t>
  </si>
  <si>
    <t>Defense</t>
  </si>
  <si>
    <t>Practice</t>
  </si>
  <si>
    <t>FY27合計</t>
  </si>
  <si>
    <t>90％のロジックが不明</t>
    <rPh sb="9" eb="11">
      <t>フメイ</t>
    </rPh>
    <phoneticPr fontId="45"/>
  </si>
  <si>
    <t>組織稼働率</t>
    <rPh sb="0" eb="2">
      <t>ソシキ</t>
    </rPh>
    <rPh sb="2" eb="5">
      <t>カドウリツ</t>
    </rPh>
    <phoneticPr fontId="45"/>
  </si>
  <si>
    <t>Sales Contribution</t>
    <phoneticPr fontId="45"/>
  </si>
  <si>
    <t>どのようなロジックでネット売上から配分するか</t>
    <rPh sb="13" eb="15">
      <t>ウリアゲ</t>
    </rPh>
    <rPh sb="17" eb="19">
      <t>ハイブン</t>
    </rPh>
    <phoneticPr fontId="45"/>
  </si>
  <si>
    <t>グロス売上</t>
    <phoneticPr fontId="45"/>
  </si>
  <si>
    <t>FY27</t>
    <phoneticPr fontId="45"/>
  </si>
  <si>
    <t>Sales Contribution(採用判定)</t>
    <rPh sb="19" eb="21">
      <t>サイヨウ</t>
    </rPh>
    <rPh sb="21" eb="23">
      <t>ハンテイ</t>
    </rPh>
    <phoneticPr fontId="45"/>
  </si>
  <si>
    <r>
      <t>(</t>
    </r>
    <r>
      <rPr>
        <sz val="11"/>
        <color theme="0" tint="-0.499984740745262"/>
        <rFont val="Noto Sans CJK SC"/>
        <family val="2"/>
      </rPr>
      <t>作成予定</t>
    </r>
    <r>
      <rPr>
        <sz val="11"/>
        <color theme="0" tint="-0.499984740745262"/>
        <rFont val="游ゴシック"/>
        <family val="3"/>
        <charset val="128"/>
      </rPr>
      <t>)</t>
    </r>
  </si>
  <si>
    <t>○</t>
    <phoneticPr fontId="45"/>
  </si>
  <si>
    <t>AI &amp; Data</t>
    <phoneticPr fontId="45"/>
  </si>
  <si>
    <t>GRC</t>
    <phoneticPr fontId="45"/>
  </si>
  <si>
    <t>・既存クライアントにおいて、部門責任者またはCXOレベルとの四半期ごとの戦略対話を主導
・法人DX、AI、5G/6G動向、スマートシティ、グローバル事業展開などに関する情報提供セッションを年6回以上実施</t>
  </si>
  <si>
    <t>・既存顧客及び関連会社へのアプローチをリードし、うち2社で大型案件を受注
・Future of Telecomシリーズ等のThought Leadershipコンテンツを活用した提案活動を実施</t>
  </si>
  <si>
    <t>・通信業界の事業戦略立案手法に関する社内トレーニングを年3回開催
・Practice内メンバーに対する定期的なメンタリングとフィードバックを実施</t>
  </si>
  <si>
    <t>・Future of Telecomシリーズに類する通信業界の未来デザインに関するホワイトペーパーを年1本発信
・業界カンファレンスまたはウェビナーへの登壇を年2回以上実施し、Practice Leaderとしてのプレゼンスを強化</t>
  </si>
  <si>
    <t>・通信業界の戦略コンサルタント経験者を年間7名以上面談し、うち3名以上の内定承諾に貢献
・通信業界向けキャリアセミナーやネットワーキングイベントに3回以上参画</t>
    <phoneticPr fontId="45"/>
  </si>
  <si>
    <t>・テクノロジー領域のコンサルタント経験者を年間7名以上面談し、うち3名以上の内定承諾に貢献
・ERP/DX関連のセミナーまたは採用イベントに2回以上参画</t>
  </si>
  <si>
    <t>・新規クライアント含む3社において、CIOまたはIT戦略責任者との四半期ごとの戦略対話を主導
・ERP導入や生成AI活用に関する情報提供セッションを年6回以上実施</t>
  </si>
  <si>
    <t>・ERP/DXニーズを持つ新規クライアント4社へのアプローチをリードし、うち2社でパイロット案件を受注
・生成AI活用事例やシステム統合実績を活用した提案活動を実施</t>
  </si>
  <si>
    <t>・ERP導入手法または生成AI活用に関する社内トレーニングを年3回開催
・大規模PMOプロジェクトにおいて3名以上のメンバーへの実務指導を実施</t>
  </si>
  <si>
    <t>・DXまたはERP導入に関するホワイトペーパーを年2本発信
・ITカンファレンスまたは経営層向けDXフォーラムへの登壇を年1回以上実施</t>
  </si>
  <si>
    <t>・DX/業務改革領域の経験者（PMO、BPRスペシャリスト等）を年間5名以上面談し、うち2名以上の内定承諾に貢献</t>
  </si>
  <si>
    <t>・ターゲットアカウントにおいて、CIOまたはCDOレベルとの定期的な関係構築を推進
・DX推進課題に関する戦略セッションを各社四半期ごとに実施し、継続的な信頼関係を強化</t>
  </si>
  <si>
    <t>・大規模プログラム推進や業務改革ニーズを持つ新規クライアント3社へアプローチし、うち1社でパイロット案件を受注
・DX事例やベストプラクティスを活用した提案活動を月次で実施</t>
  </si>
  <si>
    <t>・大規模プログラム推進手法に関する社内トレーニングを年1回開催し、PM・PMOスキルの底上げを図る
・プロジェクトにおいて3名以上のメンバーへのOJT指導を実施し、プログラムマネジメント能力を育成</t>
  </si>
  <si>
    <t>・DX推進やプログラムマネジメントに関するホワイトペーパーを年1本発信
・業界カンファレンスまたはウェビナーへの登壇を年1回以上実施</t>
  </si>
  <si>
    <t>・金融領域の専門人材を年間5名以上面談し、うち2名以上の内定承諾に貢献</t>
  </si>
  <si>
    <t>・ターゲットアカウントにおいて、CROまたはCCOレベルとの四半期ごとの戦略ディスカッションを主導
・金融規制動向やリスク管理高度化に関する情報提供セッションを年3回以上実施</t>
  </si>
  <si>
    <t>・Basel規制対応やAML/CFT高度化ニーズを持つ新規金融機関2社へのアプローチをリードし、1件以上のパイロット案件を受注
・金融当局動向レポートを活用した提案機会創出を四半期ごとに実施</t>
  </si>
  <si>
    <t>・金融規制・リスク管理に関する社内勉強会を年1回以上開催し、ジュニアコンサルタントの専門性向上を支援
・プロジェクトにおいて2名以上のメンバーへのOJT・メンタリングを実施し、金融規制対応スキルを伝達</t>
  </si>
  <si>
    <t>・Basel規制やAML高度化に関するホワイトペーパーまたは業界誌への寄稿を年1本発信（上期1本、下期1本）
・金融規制セミナーへの登壇を年1回以上実施し、ファームの専門性を対外発信</t>
  </si>
  <si>
    <t>・運輸業界に専門性のある戦略コンサルタント経験者を年間7名以上面談し、うち3名以上の内定承諾に貢献
・経営層向けネットワーキングイベントや採用セッションに2回以上参画</t>
  </si>
  <si>
    <t>・既存クライアント3社において、経営トップまたは事業責任者レベルとの四半期ごとの戦略ディスカッションを主導
・M&amp;A戦略、新規事業立案、DX推進に関する定期的な情報交換セッションを年6回以上実施</t>
  </si>
  <si>
    <t>・新規クライアント5社へのアプローチをリードし、うち3社でパイロット案件を受注
・Thought Leadershipコンテンツを活用した提案活動を実施</t>
  </si>
  <si>
    <t>・運輸業界の事業戦略立案手法に関する社内トレーニングを年3回開催
・Practice内メンバーに対する定期的なメンタリングとフィードバックを実施</t>
  </si>
  <si>
    <t>・製造業または小売業の成長戦略に関するホワイトペーパーを年1本発信
・経営層向けフォーラムまたは業界カンファレンスへの登壇を年1回以上実施</t>
  </si>
  <si>
    <t>・流通小売・消費財業界の戦略コンサルタント経験者を年間5名以上面談し、うち2名以上の内定承諾に貢献</t>
  </si>
  <si>
    <t>・ターゲットアカウントにおいて、経営企画責任者レベルとの四半期ごとの戦略ディスカッションを実施
・サステナビリティ戦略やサプライチェーン改革に関する情報提供セッションを年3回以上実施</t>
  </si>
  <si>
    <t>・ターゲットアカウントへのアプローチをリードし、パイロット案件を受注
・業界トレンド分析やベンチマーク情報を活用した提案活動を四半期ごとに実施</t>
  </si>
  <si>
    <t>・成長戦略立案手法に関する社内ワークショップを年2回開催
・プロジェクトにおいて3名以上のジュニアコンサルタントへのOJT指導を実施し、戦略思考力を育成</t>
  </si>
  <si>
    <t>・流通小売業界の成長戦略またはサステナビリティ戦略に関するホワイトペーパーを年1本発信
・業界セミナーまたはフォーラムへの登壇を年1回以上実施</t>
  </si>
  <si>
    <t>・建設・不動産業界のコンサルタント経験者を年間5名以上面談し、うち2名以上の内定承諾に貢献</t>
  </si>
  <si>
    <t>・既存建設・不動産クライアント2社において、事業責任者レベルとの四半期ごとの戦略ディスカッションを実施
・スマートシティ戦略やモビリティサービスに関する情報提供セッションを年4回以上開催</t>
  </si>
  <si>
    <t>・新規建設・不動産企業または自治体3社へのアプローチをリードし、うち1社でパイロット案件を受注
・スマートシティ構想や未来洞察レポートを活用した提案活動を実施</t>
  </si>
  <si>
    <t>・建設業界の戦略策定手法に関する社内勉強会を年2回開催
・プロジェクトにおいて2名以上のメンバーへのOJT指導を実施</t>
  </si>
  <si>
    <t>・スマートシティまたは建設業界の未来戦略に関するホワイトペーパーを年1本発信
・スマートシティフォーラムまたは建設業界セミナーへの登壇を年1回以上実施</t>
  </si>
  <si>
    <t>・ターゲットアカウントにおいて、CFOまたは経営企画責任者との四半期ごとの戦略対話を実施
・M&amp;A戦略やグローバル経営に関する情報提供セッションを年4回以上開催</t>
  </si>
  <si>
    <t>・新規金融機関または製造業3社へのアプローチをリードし、うち1社でM&amp;A関連案件を受注
・事業再編やカーブアウト事例を活用した提案活動を四半期ごとに実施</t>
  </si>
  <si>
    <t>・M&amp;A/PMI手法に関する社内勉強会を年2回開催
・プロジェクトにおいて2名以上のメンバーへのOJT指導を実施</t>
  </si>
  <si>
    <t>・M&amp;Aまたは事業再編に関する論考を年1本発信
・M&amp;Aフォーラムまたは金融業界セミナーへの登壇を年1回以上実施</t>
  </si>
  <si>
    <t>・官公庁または公共機関の既存クライアント2機関において、部局長レベルとの定期的なリレーション活動を実施
・行政DXや社会保障制度改革に関する情報提供セッションを年3回以上実施</t>
  </si>
  <si>
    <t>・新規官公庁または自治体2機関へのアプローチをリードし、1件以上のプロジェクトを受注
・政策動向レポートや先進事例紹介を活用した提案活動を実施</t>
  </si>
  <si>
    <t>・官公庁ビジネスの特性や年金・社会保障制度に関する社内勉強会を年2回開催
・公共セクタープロジェクトにおいて2名以上のメンバーへの実務指導を実施</t>
  </si>
  <si>
    <t>・行政DXまたは社会保障政策に関する論考を年1本発信
・公共政策フォーラムまたは自治体向けセミナーへの登壇を年1回以上実施</t>
  </si>
  <si>
    <t>・コーポレートファイナンスまたはM&amp;A経験者を年間7名以上面談し、うち3名以上の内定承諾に貢献
・ファイナンス系キャリアセミナーまたはネットワーキングイベントに2回以上参画</t>
  </si>
  <si>
    <t>・既存クライアント3社において、CFOまたはM&amp;A責任者との四半期ごとの戦略対話を主導
・M&amp;A市場動向やバリュエーション手法に関する情報提供セッションを年3回以上実施</t>
  </si>
  <si>
    <t>・M&amp;Aまたは事業再編ニーズを持つ新規クライアント4社へのアプローチをリードし、うち2社でパイロット案件を受注
・デューデリジェンスやPMI事例を活用した提案活動を四半期ごとに実施</t>
  </si>
  <si>
    <t>・コーポレートファイナンス手法に関する社内トレーニングを年3回開催
・Practice内メンバー3名以上に対する定期的なメンタリングを実施</t>
  </si>
  <si>
    <t>・M&amp;Aまたは事業戦略に関するホワイトペーパーを年2本発信
・M&amp;Aカンファレンスまたは経営フォーラムへの登壇を年1回以上実施</t>
  </si>
  <si>
    <t>・サイバーセキュリティ専門人材（CISO、SOC経験者等）を年間7名以上面談し、うち3名以上の内定承諾に貢献
・セキュリティカンファレンスまたは採用セッションに2回以上参画</t>
  </si>
  <si>
    <t>・新規クライアント含む3社において、CISOまたはセキュリティ責任者との四半期ごとの戦略対話を主導
・サイバーセキュリティ脅威動向やガバナンス強化に関する情報提供セッションを年6回以上実施</t>
  </si>
  <si>
    <t>・セキュリティ強化ニーズを持つ新規クライアント4社へのアプローチをリードし、うち2社でパイロット案件を受注
・グローバルセキュリティ体制構築事例やSOC立ち上げ実績を活用した提案活動を実施</t>
  </si>
  <si>
    <t>・サイバーセキュリティガバナンスに関する社内トレーニングを年3回開催
・Practice内メンバー3名以上に対する定期的なメンタリングとスキル育成を実施</t>
  </si>
  <si>
    <t>・サイバーセキュリティ戦略またはゼロトラストアーキテクチャに関するホワイトペーパーを年2本発信
・セキュリティカンファレンスへの登壇を年2回以上実施し、Practice Leaderとしてのプレゼンスを確立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</si>
</sst>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d/yyyy"/>
    <numFmt numFmtId="177" formatCode="0_);[Red]\(0\)"/>
    <numFmt numFmtId="178" formatCode="yyyy/mm/dd"/>
    <numFmt numFmtId="179" formatCode="#,##0;\-#,##0;\-"/>
    <numFmt numFmtId="180" formatCode="0.0%"/>
    <numFmt numFmtId="181" formatCode="yyyy/mm"/>
    <numFmt numFmtId="182" formatCode="#,##0.0;\-#,##0.0;\-"/>
    <numFmt numFmtId="183" formatCode="yyyy/m"/>
  </numFmts>
  <fonts count="55">
    <font>
      <sz val="11"/>
      <color theme="1"/>
      <name val="游ゴシック"/>
      <family val="2"/>
      <charset val="128"/>
    </font>
    <font>
      <sz val="8"/>
      <color theme="1"/>
      <name val="游ゴシック"/>
      <family val="2"/>
      <charset val="128"/>
    </font>
    <font>
      <sz val="8"/>
      <color theme="1"/>
      <name val="Meiryo UI"/>
      <family val="2"/>
    </font>
    <font>
      <sz val="8"/>
      <color theme="1"/>
      <name val="Meiryo UI"/>
      <family val="2"/>
      <charset val="1"/>
    </font>
    <font>
      <sz val="8"/>
      <color rgb="FF000000"/>
      <name val="Meiryo UI"/>
      <family val="3"/>
      <charset val="128"/>
    </font>
    <font>
      <sz val="8"/>
      <color rgb="FFFFFFFF"/>
      <name val="Meiryo UI"/>
      <family val="3"/>
      <charset val="128"/>
    </font>
    <font>
      <sz val="8"/>
      <color rgb="FFFFFFFF"/>
      <name val="Meiryo UI"/>
      <family val="2"/>
    </font>
    <font>
      <sz val="8"/>
      <color rgb="FFFFFFFF"/>
      <name val="Meiryo UI"/>
      <family val="2"/>
      <charset val="1"/>
    </font>
    <font>
      <sz val="8"/>
      <color rgb="FF000000"/>
      <name val="Meiryo UI"/>
      <family val="2"/>
    </font>
    <font>
      <sz val="8"/>
      <color rgb="FF000000"/>
      <name val="Meiryo UI"/>
      <family val="2"/>
      <charset val="1"/>
    </font>
    <font>
      <sz val="8"/>
      <color rgb="FFC00000"/>
      <name val="Meiryo UI"/>
      <family val="3"/>
      <charset val="128"/>
    </font>
    <font>
      <b/>
      <sz val="11"/>
      <name val="游ゴシック"/>
      <family val="3"/>
      <charset val="128"/>
    </font>
    <font>
      <b/>
      <sz val="9"/>
      <name val="游ゴシック"/>
      <family val="2"/>
    </font>
    <font>
      <b/>
      <sz val="9"/>
      <name val="游ゴシック"/>
      <family val="3"/>
      <charset val="128"/>
    </font>
    <font>
      <sz val="9"/>
      <name val="游ゴシック"/>
      <family val="2"/>
    </font>
    <font>
      <sz val="9"/>
      <name val="游ゴシック"/>
      <family val="3"/>
      <charset val="128"/>
    </font>
    <font>
      <sz val="11"/>
      <color theme="1"/>
      <name val="游ゴシック"/>
      <family val="3"/>
      <charset val="128"/>
    </font>
    <font>
      <b/>
      <sz val="9"/>
      <color theme="0"/>
      <name val="游ゴシック"/>
      <family val="2"/>
    </font>
    <font>
      <b/>
      <sz val="9"/>
      <color theme="0"/>
      <name val="游ゴシック"/>
      <family val="3"/>
      <charset val="128"/>
    </font>
    <font>
      <b/>
      <sz val="9"/>
      <color theme="0"/>
      <name val="游ゴシック"/>
      <family val="2"/>
      <charset val="1"/>
    </font>
    <font>
      <sz val="11"/>
      <color theme="1"/>
      <name val="游ゴシック"/>
      <family val="2"/>
    </font>
    <font>
      <sz val="11"/>
      <name val="游ゴシック"/>
      <family val="3"/>
      <charset val="128"/>
    </font>
    <font>
      <sz val="11"/>
      <name val="游ゴシック"/>
      <family val="2"/>
    </font>
    <font>
      <sz val="10"/>
      <name val="游ゴシック"/>
      <family val="3"/>
      <charset val="128"/>
    </font>
    <font>
      <sz val="11"/>
      <name val="游ゴシック"/>
      <family val="2"/>
      <charset val="1"/>
    </font>
    <font>
      <sz val="10"/>
      <name val="Arial"/>
      <family val="2"/>
    </font>
    <font>
      <b/>
      <sz val="10"/>
      <name val="游ゴシック"/>
      <family val="2"/>
    </font>
    <font>
      <b/>
      <sz val="10"/>
      <name val="游ゴシック"/>
      <family val="2"/>
      <charset val="1"/>
    </font>
    <font>
      <sz val="8"/>
      <color rgb="FF808080"/>
      <name val="游ゴシック"/>
      <family val="2"/>
    </font>
    <font>
      <sz val="8"/>
      <color rgb="FF808080"/>
      <name val="游ゴシック"/>
      <family val="2"/>
      <charset val="1"/>
    </font>
    <font>
      <b/>
      <sz val="9"/>
      <name val="游ゴシック"/>
      <family val="3"/>
      <charset val="128"/>
    </font>
    <font>
      <b/>
      <sz val="9"/>
      <name val="游ゴシック"/>
      <family val="2"/>
      <charset val="1"/>
    </font>
    <font>
      <sz val="9"/>
      <name val="游ゴシック"/>
      <family val="3"/>
      <charset val="128"/>
    </font>
    <font>
      <sz val="8"/>
      <color rgb="FF808080"/>
      <name val="游ゴシック"/>
      <family val="3"/>
      <charset val="128"/>
    </font>
    <font>
      <sz val="8"/>
      <color theme="1"/>
      <name val="Noto Sans CJK SC"/>
      <family val="2"/>
    </font>
    <font>
      <sz val="8"/>
      <color rgb="FFFFFFFF"/>
      <name val="Noto Sans CJK SC"/>
      <family val="2"/>
    </font>
    <font>
      <sz val="8"/>
      <color rgb="FF000000"/>
      <name val="Noto Sans CJK SC"/>
      <family val="2"/>
    </font>
    <font>
      <b/>
      <sz val="11"/>
      <name val="Noto Sans CJK SC"/>
      <family val="2"/>
    </font>
    <font>
      <sz val="9"/>
      <name val="Noto Sans CJK SC"/>
      <family val="2"/>
    </font>
    <font>
      <b/>
      <sz val="9"/>
      <color theme="0"/>
      <name val="Noto Sans CJK SC"/>
      <family val="2"/>
    </font>
    <font>
      <sz val="11"/>
      <name val="Noto Sans CJK SC"/>
      <family val="2"/>
    </font>
    <font>
      <b/>
      <sz val="10"/>
      <name val="Noto Sans CJK SC"/>
      <family val="2"/>
    </font>
    <font>
      <sz val="8"/>
      <color rgb="FF808080"/>
      <name val="Noto Sans CJK SC"/>
      <family val="2"/>
    </font>
    <font>
      <b/>
      <sz val="9"/>
      <name val="Noto Sans CJK SC"/>
      <family val="2"/>
    </font>
    <font>
      <sz val="10"/>
      <name val="Noto Sans CJK SC"/>
      <family val="2"/>
    </font>
    <font>
      <sz val="6"/>
      <name val="游ゴシック"/>
      <family val="2"/>
      <charset val="128"/>
    </font>
    <font>
      <b/>
      <sz val="9"/>
      <name val="ＭＳ ゴシック"/>
      <family val="3"/>
      <charset val="128"/>
    </font>
    <font>
      <sz val="11"/>
      <color theme="0"/>
      <name val="游ゴシック"/>
      <family val="2"/>
      <charset val="128"/>
    </font>
    <font>
      <sz val="11"/>
      <color theme="0"/>
      <name val="游ゴシック"/>
      <family val="3"/>
      <charset val="128"/>
    </font>
    <font>
      <sz val="10"/>
      <color theme="0" tint="-0.499984740745262"/>
      <name val="游ゴシック"/>
      <family val="3"/>
      <charset val="128"/>
    </font>
    <font>
      <sz val="11"/>
      <color theme="0" tint="-0.499984740745262"/>
      <name val="游ゴシック"/>
      <family val="2"/>
    </font>
    <font>
      <sz val="11"/>
      <color theme="0" tint="-0.499984740745262"/>
      <name val="游ゴシック"/>
      <family val="3"/>
      <charset val="128"/>
    </font>
    <font>
      <sz val="11"/>
      <color theme="0" tint="-0.499984740745262"/>
      <name val="Noto Sans CJK SC"/>
      <family val="2"/>
    </font>
    <font>
      <sz val="10"/>
      <color theme="1"/>
      <name val="游ゴシック"/>
      <family val="3"/>
      <charset val="128"/>
    </font>
    <font>
      <sz val="11"/>
      <color rgb="FFFF0000"/>
      <name val="游ゴシック"/>
      <family val="3"/>
      <charset val="128"/>
    </font>
  </fonts>
  <fills count="13">
    <fill>
      <patternFill patternType="none"/>
    </fill>
    <fill>
      <patternFill patternType="gray125"/>
    </fill>
    <fill>
      <patternFill patternType="solid">
        <fgColor rgb="FF000000"/>
        <bgColor rgb="FF0E2841"/>
      </patternFill>
    </fill>
    <fill>
      <patternFill patternType="solid">
        <fgColor rgb="FF808080"/>
        <bgColor rgb="FF666699"/>
      </patternFill>
    </fill>
    <fill>
      <patternFill patternType="solid">
        <fgColor rgb="FF0E2841"/>
        <bgColor rgb="FF163E64"/>
      </patternFill>
    </fill>
    <fill>
      <patternFill patternType="solid">
        <fgColor rgb="FFDDEBF7"/>
        <bgColor rgb="FFF2F2F2"/>
      </patternFill>
    </fill>
    <fill>
      <patternFill patternType="solid">
        <fgColor theme="3" tint="9.9795525986510814E-2"/>
        <bgColor rgb="FF0E2841"/>
      </patternFill>
    </fill>
    <fill>
      <patternFill patternType="solid">
        <fgColor rgb="FFFCE4D6"/>
        <bgColor rgb="FFF2F2F2"/>
      </patternFill>
    </fill>
    <fill>
      <patternFill patternType="solid">
        <fgColor theme="5" tint="-0.249977111117893"/>
        <bgColor rgb="FF163E64"/>
      </patternFill>
    </fill>
    <fill>
      <patternFill patternType="solid">
        <fgColor theme="5" tint="0.39997558519241921"/>
        <bgColor rgb="FF0E2841"/>
      </patternFill>
    </fill>
    <fill>
      <patternFill patternType="solid">
        <fgColor theme="3" tint="0.249977111117893"/>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FFFFFF"/>
      </right>
      <top/>
      <bottom style="thin">
        <color rgb="FFBFBFBF"/>
      </bottom>
      <diagonal/>
    </border>
    <border>
      <left style="thin">
        <color rgb="FFFFFFFF"/>
      </left>
      <right style="thin">
        <color rgb="FFFFFFFF"/>
      </right>
      <top/>
      <bottom style="thin">
        <color rgb="FFBFBFB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BFBFBF"/>
      </bottom>
      <diagonal/>
    </border>
    <border>
      <left style="thin">
        <color rgb="FFFFFFFF"/>
      </left>
      <right/>
      <top style="thin">
        <color rgb="FFFFFFFF"/>
      </top>
      <bottom style="thin">
        <color rgb="FFBFBFBF"/>
      </bottom>
      <diagonal/>
    </border>
    <border>
      <left/>
      <right/>
      <top style="thin">
        <color rgb="FFFFFFFF"/>
      </top>
      <bottom/>
      <diagonal/>
    </border>
    <border>
      <left style="thin">
        <color rgb="FFBFBFBF"/>
      </left>
      <right style="thin">
        <color rgb="FFF2F2F2"/>
      </right>
      <top style="thin">
        <color rgb="FFBFBFBF"/>
      </top>
      <bottom style="thin">
        <color rgb="FFBFBFBF"/>
      </bottom>
      <diagonal/>
    </border>
    <border>
      <left style="thin">
        <color rgb="FFF2F2F2"/>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diagonal/>
    </border>
    <border>
      <left style="thin">
        <color rgb="FFBFBFBF"/>
      </left>
      <right style="thin">
        <color rgb="FFD9D9D9"/>
      </right>
      <top style="thin">
        <color rgb="FFBFBFBF"/>
      </top>
      <bottom style="thin">
        <color rgb="FFBFBFBF"/>
      </bottom>
      <diagonal/>
    </border>
    <border>
      <left style="thin">
        <color rgb="FFD9D9D9"/>
      </left>
      <right style="thin">
        <color rgb="FFD9D9D9"/>
      </right>
      <top style="thin">
        <color rgb="FFBFBFBF"/>
      </top>
      <bottom style="thin">
        <color rgb="FFBFBFBF"/>
      </bottom>
      <diagonal/>
    </border>
    <border>
      <left style="thin">
        <color rgb="FFD9D9D9"/>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theme="0" tint="-0.499984740745262"/>
      </left>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right/>
      <top style="hair">
        <color theme="0" tint="-0.499984740745262"/>
      </top>
      <bottom style="hair">
        <color theme="0" tint="-0.499984740745262"/>
      </bottom>
      <diagonal/>
    </border>
    <border>
      <left style="thin">
        <color rgb="FFBFBFBF"/>
      </left>
      <right style="thin">
        <color rgb="FFBFBFBF"/>
      </right>
      <top/>
      <bottom/>
      <diagonal/>
    </border>
  </borders>
  <cellStyleXfs count="1">
    <xf numFmtId="0" fontId="0" fillId="0" borderId="0">
      <alignment vertical="center"/>
    </xf>
  </cellStyleXfs>
  <cellXfs count="151">
    <xf numFmtId="0" fontId="0" fillId="0" borderId="0" xfId="0">
      <alignment vertical="center"/>
    </xf>
    <xf numFmtId="9" fontId="4" fillId="0" borderId="1" xfId="0" applyNumberFormat="1" applyFont="1" applyBorder="1" applyAlignment="1">
      <alignment horizontal="right" vertical="center"/>
    </xf>
    <xf numFmtId="0" fontId="4" fillId="0" borderId="1" xfId="0" applyFont="1" applyBorder="1" applyAlignment="1">
      <alignment horizontal="right" vertical="center"/>
    </xf>
    <xf numFmtId="0" fontId="4" fillId="0" borderId="1" xfId="0" applyFont="1" applyBorder="1" applyAlignment="1">
      <alignment horizontal="right" vertical="center" wrapText="1"/>
    </xf>
    <xf numFmtId="0" fontId="4" fillId="0" borderId="1" xfId="0" applyFont="1" applyBorder="1" applyAlignment="1">
      <alignment horizontal="center" vertical="center"/>
    </xf>
    <xf numFmtId="0" fontId="4" fillId="0" borderId="1" xfId="0" applyFont="1" applyBorder="1">
      <alignment vertical="center"/>
    </xf>
    <xf numFmtId="176" fontId="4" fillId="0" borderId="1" xfId="0" applyNumberFormat="1" applyFont="1" applyBorder="1">
      <alignment vertical="center"/>
    </xf>
    <xf numFmtId="0" fontId="8" fillId="0" borderId="1" xfId="0" applyFont="1" applyBorder="1">
      <alignment vertical="center"/>
    </xf>
    <xf numFmtId="0" fontId="5" fillId="2" borderId="7" xfId="0" applyFont="1" applyFill="1" applyBorder="1" applyAlignment="1">
      <alignment horizontal="center" vertical="center"/>
    </xf>
    <xf numFmtId="0" fontId="5" fillId="2" borderId="1" xfId="0" applyFont="1" applyFill="1" applyBorder="1" applyAlignment="1">
      <alignment horizontal="center" vertical="center"/>
    </xf>
    <xf numFmtId="0" fontId="1" fillId="0" borderId="0" xfId="0" applyFont="1">
      <alignment vertical="center"/>
    </xf>
    <xf numFmtId="0" fontId="2" fillId="0" borderId="0" xfId="0" applyFont="1">
      <alignment vertical="center"/>
    </xf>
    <xf numFmtId="0" fontId="4" fillId="0" borderId="0" xfId="0" applyFont="1">
      <alignment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2" borderId="10" xfId="0" applyFont="1" applyFill="1" applyBorder="1" applyAlignment="1">
      <alignment horizontal="center" vertical="center"/>
    </xf>
    <xf numFmtId="0" fontId="6"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2" borderId="13" xfId="0" applyFont="1" applyFill="1" applyBorder="1" applyAlignment="1">
      <alignment horizontal="center" vertical="center"/>
    </xf>
    <xf numFmtId="0" fontId="4" fillId="0" borderId="1" xfId="0" applyFont="1" applyBorder="1" applyAlignment="1">
      <alignment horizontal="left" vertical="center"/>
    </xf>
    <xf numFmtId="0" fontId="8" fillId="0" borderId="14" xfId="0" applyFont="1" applyBorder="1" applyAlignment="1">
      <alignment horizontal="left" vertical="center" wrapText="1"/>
    </xf>
    <xf numFmtId="10" fontId="4" fillId="0" borderId="15" xfId="0" applyNumberFormat="1" applyFont="1" applyBorder="1" applyAlignment="1">
      <alignment horizontal="right" vertical="center"/>
    </xf>
    <xf numFmtId="10" fontId="4" fillId="0" borderId="16" xfId="0" applyNumberFormat="1" applyFont="1" applyBorder="1" applyAlignment="1">
      <alignment horizontal="right" vertical="center"/>
    </xf>
    <xf numFmtId="10" fontId="4" fillId="0" borderId="17" xfId="0" applyNumberFormat="1" applyFont="1" applyBorder="1" applyAlignment="1">
      <alignment horizontal="right" vertical="center"/>
    </xf>
    <xf numFmtId="10" fontId="4" fillId="0" borderId="1" xfId="0" applyNumberFormat="1" applyFont="1" applyBorder="1" applyAlignment="1">
      <alignment horizontal="right" vertical="center"/>
    </xf>
    <xf numFmtId="0" fontId="8" fillId="0" borderId="18" xfId="0" applyFont="1" applyBorder="1" applyAlignment="1">
      <alignment horizontal="left" vertical="center" wrapText="1"/>
    </xf>
    <xf numFmtId="0" fontId="4" fillId="0" borderId="14" xfId="0" applyFont="1" applyBorder="1" applyAlignment="1">
      <alignment vertical="center" wrapText="1"/>
    </xf>
    <xf numFmtId="0" fontId="4" fillId="0" borderId="14" xfId="0" applyFont="1" applyBorder="1" applyAlignment="1">
      <alignment horizontal="left" vertical="center" wrapText="1"/>
    </xf>
    <xf numFmtId="0" fontId="4" fillId="0" borderId="1" xfId="0" applyFont="1" applyBorder="1" applyAlignment="1">
      <alignment horizontal="left" vertical="center" wrapText="1"/>
    </xf>
    <xf numFmtId="0" fontId="4" fillId="0" borderId="18" xfId="0" applyFont="1" applyBorder="1" applyAlignment="1">
      <alignment vertical="center" wrapText="1"/>
    </xf>
    <xf numFmtId="0" fontId="4" fillId="0" borderId="15" xfId="0" applyFont="1" applyBorder="1" applyAlignment="1">
      <alignment horizontal="right" vertical="center"/>
    </xf>
    <xf numFmtId="0" fontId="4" fillId="0" borderId="16" xfId="0" applyFont="1" applyBorder="1" applyAlignment="1">
      <alignment horizontal="right" vertical="center"/>
    </xf>
    <xf numFmtId="0" fontId="4" fillId="0" borderId="17" xfId="0" applyFont="1" applyBorder="1" applyAlignment="1">
      <alignment horizontal="right" vertical="center"/>
    </xf>
    <xf numFmtId="0" fontId="8" fillId="0" borderId="1" xfId="0" applyFont="1" applyBorder="1" applyAlignment="1">
      <alignment horizontal="left" vertical="center"/>
    </xf>
    <xf numFmtId="0" fontId="0" fillId="0" borderId="0" xfId="0" applyAlignment="1"/>
    <xf numFmtId="0" fontId="11" fillId="0" borderId="0" xfId="0" applyFont="1" applyAlignment="1"/>
    <xf numFmtId="0" fontId="12"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4" fillId="0" borderId="1" xfId="0" applyFont="1" applyBorder="1" applyAlignment="1">
      <alignment vertical="top" wrapText="1"/>
    </xf>
    <xf numFmtId="0" fontId="14" fillId="0" borderId="1" xfId="0" applyFont="1" applyBorder="1" applyAlignment="1">
      <alignment horizontal="center" vertical="top"/>
    </xf>
    <xf numFmtId="0" fontId="15" fillId="0" borderId="1" xfId="0" applyFont="1" applyBorder="1" applyAlignment="1">
      <alignment vertical="top" wrapText="1"/>
    </xf>
    <xf numFmtId="0" fontId="15" fillId="0" borderId="1" xfId="0" applyFont="1" applyBorder="1" applyAlignment="1">
      <alignment horizontal="center" vertical="top"/>
    </xf>
    <xf numFmtId="0" fontId="16" fillId="0" borderId="0" xfId="0" applyFont="1">
      <alignment vertical="center"/>
    </xf>
    <xf numFmtId="0" fontId="16" fillId="0" borderId="0" xfId="0" applyFont="1" applyAlignment="1">
      <alignment horizontal="center" vertical="center" wrapText="1"/>
    </xf>
    <xf numFmtId="177" fontId="17" fillId="4" borderId="23" xfId="0" applyNumberFormat="1" applyFont="1" applyFill="1" applyBorder="1" applyAlignment="1">
      <alignment horizontal="center" vertical="center" wrapText="1"/>
    </xf>
    <xf numFmtId="177" fontId="18" fillId="4" borderId="23" xfId="0" applyNumberFormat="1" applyFont="1" applyFill="1" applyBorder="1" applyAlignment="1">
      <alignment horizontal="center" vertical="center" wrapText="1"/>
    </xf>
    <xf numFmtId="177" fontId="18" fillId="6" borderId="24" xfId="0" applyNumberFormat="1" applyFont="1" applyFill="1" applyBorder="1" applyAlignment="1">
      <alignment horizontal="center" vertical="center" wrapText="1"/>
    </xf>
    <xf numFmtId="177" fontId="18" fillId="6" borderId="23" xfId="0" applyNumberFormat="1" applyFont="1" applyFill="1" applyBorder="1" applyAlignment="1">
      <alignment horizontal="center" vertical="center" wrapText="1"/>
    </xf>
    <xf numFmtId="177" fontId="17" fillId="6" borderId="23" xfId="0" applyNumberFormat="1" applyFont="1" applyFill="1" applyBorder="1" applyAlignment="1">
      <alignment horizontal="center" vertical="center" wrapText="1"/>
    </xf>
    <xf numFmtId="177" fontId="20" fillId="0" borderId="25" xfId="0" applyNumberFormat="1" applyFont="1" applyBorder="1">
      <alignment vertical="center"/>
    </xf>
    <xf numFmtId="178" fontId="16" fillId="0" borderId="26" xfId="0" applyNumberFormat="1" applyFont="1" applyBorder="1" applyAlignment="1">
      <alignment horizontal="left" vertical="center"/>
    </xf>
    <xf numFmtId="177" fontId="16" fillId="0" borderId="26" xfId="0" applyNumberFormat="1" applyFont="1" applyBorder="1">
      <alignment vertical="center"/>
    </xf>
    <xf numFmtId="177" fontId="21" fillId="0" borderId="26" xfId="0" applyNumberFormat="1" applyFont="1" applyBorder="1" applyAlignment="1">
      <alignment horizontal="center" vertical="center"/>
    </xf>
    <xf numFmtId="179" fontId="21" fillId="0" borderId="26" xfId="0" applyNumberFormat="1" applyFont="1" applyBorder="1" applyAlignment="1">
      <alignment horizontal="right" vertical="center"/>
    </xf>
    <xf numFmtId="9" fontId="21" fillId="0" borderId="26" xfId="0" applyNumberFormat="1" applyFont="1" applyBorder="1" applyAlignment="1">
      <alignment horizontal="right" vertical="center"/>
    </xf>
    <xf numFmtId="177" fontId="21" fillId="0" borderId="26" xfId="0" applyNumberFormat="1" applyFont="1" applyBorder="1" applyAlignment="1">
      <alignment horizontal="left" vertical="center"/>
    </xf>
    <xf numFmtId="177" fontId="21" fillId="0" borderId="26" xfId="0" applyNumberFormat="1" applyFont="1" applyBorder="1">
      <alignment vertical="center"/>
    </xf>
    <xf numFmtId="180" fontId="23" fillId="0" borderId="26" xfId="0" applyNumberFormat="1" applyFont="1" applyBorder="1" applyAlignment="1">
      <alignment horizontal="right" vertical="center"/>
    </xf>
    <xf numFmtId="180" fontId="23" fillId="0" borderId="24" xfId="0" applyNumberFormat="1" applyFont="1" applyBorder="1" applyAlignment="1">
      <alignment horizontal="right" vertical="center"/>
    </xf>
    <xf numFmtId="177" fontId="22" fillId="0" borderId="26" xfId="0" applyNumberFormat="1" applyFont="1" applyBorder="1" applyAlignment="1">
      <alignment horizontal="left" vertical="center"/>
    </xf>
    <xf numFmtId="177" fontId="24" fillId="0" borderId="26" xfId="0" applyNumberFormat="1" applyFont="1" applyBorder="1" applyAlignment="1">
      <alignment horizontal="left" vertical="center"/>
    </xf>
    <xf numFmtId="179" fontId="24" fillId="0" borderId="26" xfId="0" applyNumberFormat="1" applyFont="1" applyBorder="1" applyAlignment="1">
      <alignment horizontal="left" vertical="center"/>
    </xf>
    <xf numFmtId="177" fontId="22" fillId="0" borderId="26" xfId="0" applyNumberFormat="1" applyFont="1" applyBorder="1">
      <alignment vertical="center"/>
    </xf>
    <xf numFmtId="177" fontId="21" fillId="0" borderId="26" xfId="0" applyNumberFormat="1" applyFont="1" applyBorder="1" applyAlignment="1">
      <alignment horizontal="right" vertical="center"/>
    </xf>
    <xf numFmtId="0" fontId="26" fillId="0" borderId="0" xfId="0" applyFont="1" applyAlignment="1"/>
    <xf numFmtId="0" fontId="28" fillId="0" borderId="0" xfId="0" applyFont="1" applyAlignment="1"/>
    <xf numFmtId="0" fontId="12" fillId="5" borderId="1" xfId="0" applyFont="1" applyFill="1" applyBorder="1" applyAlignment="1">
      <alignment horizontal="center" vertical="center" wrapText="1"/>
    </xf>
    <xf numFmtId="0" fontId="30" fillId="5" borderId="1" xfId="0" applyFont="1" applyFill="1" applyBorder="1" applyAlignment="1">
      <alignment horizontal="center" vertical="center" wrapText="1"/>
    </xf>
    <xf numFmtId="0" fontId="30" fillId="7" borderId="1" xfId="0" applyFont="1" applyFill="1" applyBorder="1" applyAlignment="1">
      <alignment horizontal="center" vertical="center" wrapText="1"/>
    </xf>
    <xf numFmtId="181" fontId="30" fillId="5" borderId="1" xfId="0" applyNumberFormat="1" applyFont="1" applyFill="1" applyBorder="1" applyAlignment="1"/>
    <xf numFmtId="0" fontId="14" fillId="0" borderId="0" xfId="0" applyFont="1" applyAlignment="1"/>
    <xf numFmtId="0" fontId="32" fillId="0" borderId="0" xfId="0" applyFont="1" applyAlignment="1"/>
    <xf numFmtId="178" fontId="32" fillId="0" borderId="0" xfId="0" applyNumberFormat="1" applyFont="1" applyAlignment="1"/>
    <xf numFmtId="179" fontId="32" fillId="0" borderId="0" xfId="0" applyNumberFormat="1" applyFont="1" applyAlignment="1"/>
    <xf numFmtId="179" fontId="32" fillId="7" borderId="1" xfId="0" applyNumberFormat="1" applyFont="1" applyFill="1" applyBorder="1" applyAlignment="1"/>
    <xf numFmtId="182" fontId="32" fillId="0" borderId="1" xfId="0" applyNumberFormat="1" applyFont="1" applyBorder="1" applyAlignment="1"/>
    <xf numFmtId="0" fontId="33" fillId="0" borderId="0" xfId="0" applyFont="1" applyAlignment="1"/>
    <xf numFmtId="0" fontId="13" fillId="5" borderId="1" xfId="0" applyFont="1" applyFill="1" applyBorder="1" applyAlignment="1">
      <alignment horizontal="center" vertical="center" wrapText="1"/>
    </xf>
    <xf numFmtId="177" fontId="20" fillId="0" borderId="0" xfId="0" applyNumberFormat="1" applyFont="1">
      <alignment vertical="center"/>
    </xf>
    <xf numFmtId="179" fontId="16" fillId="0" borderId="0" xfId="0" applyNumberFormat="1" applyFont="1">
      <alignment vertical="center"/>
    </xf>
    <xf numFmtId="177" fontId="18" fillId="9" borderId="23" xfId="0" applyNumberFormat="1" applyFont="1" applyFill="1" applyBorder="1" applyAlignment="1">
      <alignment horizontal="center" vertical="center" wrapText="1"/>
    </xf>
    <xf numFmtId="3" fontId="0" fillId="0" borderId="0" xfId="0" applyNumberFormat="1">
      <alignment vertical="center"/>
    </xf>
    <xf numFmtId="0" fontId="47" fillId="10" borderId="0" xfId="0" applyFont="1" applyFill="1">
      <alignment vertical="center"/>
    </xf>
    <xf numFmtId="0" fontId="48" fillId="10" borderId="0" xfId="0" applyFont="1" applyFill="1">
      <alignment vertical="center"/>
    </xf>
    <xf numFmtId="183" fontId="48" fillId="10" borderId="0" xfId="0" applyNumberFormat="1" applyFont="1" applyFill="1" applyAlignment="1">
      <alignment horizontal="left" vertical="center"/>
    </xf>
    <xf numFmtId="0" fontId="14" fillId="0" borderId="27" xfId="0" applyFont="1" applyBorder="1" applyAlignment="1">
      <alignment vertical="top" wrapText="1"/>
    </xf>
    <xf numFmtId="179" fontId="21" fillId="11" borderId="26" xfId="0" applyNumberFormat="1" applyFont="1" applyFill="1" applyBorder="1" applyAlignment="1">
      <alignment horizontal="right" vertical="center"/>
    </xf>
    <xf numFmtId="177" fontId="18" fillId="8" borderId="23" xfId="0" applyNumberFormat="1" applyFont="1" applyFill="1" applyBorder="1" applyAlignment="1">
      <alignment horizontal="center" vertical="center" wrapText="1"/>
    </xf>
    <xf numFmtId="180" fontId="49" fillId="12" borderId="26" xfId="0" applyNumberFormat="1" applyFont="1" applyFill="1" applyBorder="1" applyAlignment="1">
      <alignment horizontal="right" vertical="center"/>
    </xf>
    <xf numFmtId="177" fontId="50" fillId="12" borderId="25" xfId="0" applyNumberFormat="1" applyFont="1" applyFill="1" applyBorder="1">
      <alignment vertical="center"/>
    </xf>
    <xf numFmtId="178" fontId="51" fillId="12" borderId="26" xfId="0" applyNumberFormat="1" applyFont="1" applyFill="1" applyBorder="1" applyAlignment="1">
      <alignment horizontal="left" vertical="center"/>
    </xf>
    <xf numFmtId="177" fontId="51" fillId="12" borderId="26" xfId="0" applyNumberFormat="1" applyFont="1" applyFill="1" applyBorder="1">
      <alignment vertical="center"/>
    </xf>
    <xf numFmtId="177" fontId="51" fillId="12" borderId="26" xfId="0" applyNumberFormat="1" applyFont="1" applyFill="1" applyBorder="1" applyAlignment="1">
      <alignment horizontal="center" vertical="center"/>
    </xf>
    <xf numFmtId="177" fontId="51" fillId="12" borderId="26" xfId="0" applyNumberFormat="1" applyFont="1" applyFill="1" applyBorder="1" applyAlignment="1">
      <alignment horizontal="right" vertical="center"/>
    </xf>
    <xf numFmtId="179" fontId="51" fillId="12" borderId="26" xfId="0" applyNumberFormat="1" applyFont="1" applyFill="1" applyBorder="1" applyAlignment="1">
      <alignment horizontal="right" vertical="center"/>
    </xf>
    <xf numFmtId="9" fontId="51" fillId="12" borderId="26" xfId="0" applyNumberFormat="1" applyFont="1" applyFill="1" applyBorder="1" applyAlignment="1">
      <alignment horizontal="right" vertical="center"/>
    </xf>
    <xf numFmtId="177" fontId="51" fillId="12" borderId="26" xfId="0" applyNumberFormat="1" applyFont="1" applyFill="1" applyBorder="1" applyAlignment="1">
      <alignment horizontal="left" vertical="center"/>
    </xf>
    <xf numFmtId="180" fontId="49" fillId="12" borderId="24" xfId="0" applyNumberFormat="1" applyFont="1" applyFill="1" applyBorder="1" applyAlignment="1">
      <alignment horizontal="right" vertical="center"/>
    </xf>
    <xf numFmtId="180" fontId="53" fillId="0" borderId="26" xfId="0" applyNumberFormat="1" applyFont="1" applyBorder="1" applyAlignment="1">
      <alignment horizontal="right" vertical="center"/>
    </xf>
    <xf numFmtId="177" fontId="22" fillId="0" borderId="26" xfId="0" applyNumberFormat="1" applyFont="1" applyBorder="1" applyAlignment="1">
      <alignment vertical="center" wrapText="1"/>
    </xf>
    <xf numFmtId="177" fontId="18" fillId="4" borderId="22" xfId="0" applyNumberFormat="1" applyFont="1" applyFill="1" applyBorder="1" applyAlignment="1">
      <alignment horizontal="center" vertical="center" wrapText="1"/>
    </xf>
    <xf numFmtId="177" fontId="17" fillId="4" borderId="22" xfId="0" applyNumberFormat="1" applyFont="1" applyFill="1" applyBorder="1" applyAlignment="1">
      <alignment horizontal="center" vertical="center" wrapText="1"/>
    </xf>
    <xf numFmtId="177" fontId="17" fillId="4" borderId="23" xfId="0" applyNumberFormat="1" applyFont="1" applyFill="1" applyBorder="1" applyAlignment="1">
      <alignment horizontal="center" vertical="center" wrapText="1"/>
    </xf>
    <xf numFmtId="177" fontId="18" fillId="4" borderId="23" xfId="0" applyNumberFormat="1" applyFont="1" applyFill="1" applyBorder="1" applyAlignment="1">
      <alignment horizontal="center" vertical="center" wrapText="1"/>
    </xf>
    <xf numFmtId="177" fontId="17" fillId="4" borderId="19" xfId="0" applyNumberFormat="1" applyFont="1" applyFill="1" applyBorder="1" applyAlignment="1">
      <alignment horizontal="center" vertical="center" wrapText="1"/>
    </xf>
    <xf numFmtId="177" fontId="17" fillId="4" borderId="20" xfId="0" applyNumberFormat="1" applyFont="1" applyFill="1" applyBorder="1" applyAlignment="1">
      <alignment horizontal="center" vertical="center" wrapText="1"/>
    </xf>
    <xf numFmtId="177" fontId="18" fillId="4" borderId="20" xfId="0" applyNumberFormat="1" applyFont="1" applyFill="1" applyBorder="1" applyAlignment="1">
      <alignment horizontal="center" vertical="center" wrapText="1"/>
    </xf>
    <xf numFmtId="177" fontId="18" fillId="4" borderId="21" xfId="0" applyNumberFormat="1" applyFont="1" applyFill="1" applyBorder="1" applyAlignment="1">
      <alignment horizontal="center" vertical="center" wrapText="1"/>
    </xf>
    <xf numFmtId="10" fontId="4" fillId="0" borderId="16" xfId="0" applyNumberFormat="1" applyFont="1" applyBorder="1" applyAlignment="1">
      <alignment horizontal="right" vertical="center"/>
    </xf>
    <xf numFmtId="10" fontId="4" fillId="0" borderId="17" xfId="0" applyNumberFormat="1" applyFont="1" applyBorder="1" applyAlignment="1">
      <alignment horizontal="right" vertical="center"/>
    </xf>
    <xf numFmtId="10" fontId="4" fillId="0" borderId="1" xfId="0" applyNumberFormat="1" applyFont="1" applyBorder="1" applyAlignment="1">
      <alignment horizontal="right" vertical="center"/>
    </xf>
    <xf numFmtId="0" fontId="4" fillId="0" borderId="1" xfId="0" applyFont="1" applyBorder="1" applyAlignment="1">
      <alignment horizontal="right" vertical="center"/>
    </xf>
    <xf numFmtId="10" fontId="4" fillId="0" borderId="15" xfId="0" applyNumberFormat="1" applyFont="1" applyBorder="1" applyAlignment="1">
      <alignment horizontal="right" vertical="center"/>
    </xf>
    <xf numFmtId="9" fontId="4" fillId="0" borderId="1" xfId="0" applyNumberFormat="1" applyFont="1" applyBorder="1" applyAlignment="1">
      <alignment horizontal="right" vertical="center"/>
    </xf>
    <xf numFmtId="0" fontId="8" fillId="0" borderId="1" xfId="0" applyFont="1" applyBorder="1">
      <alignment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right" vertical="center" wrapText="1"/>
    </xf>
    <xf numFmtId="3" fontId="4" fillId="0" borderId="1" xfId="0" applyNumberFormat="1" applyFont="1" applyBorder="1" applyAlignment="1">
      <alignment horizontal="right" vertical="center" wrapText="1"/>
    </xf>
    <xf numFmtId="176" fontId="4" fillId="0" borderId="1" xfId="0" applyNumberFormat="1" applyFont="1" applyBorder="1">
      <alignment vertical="center"/>
    </xf>
    <xf numFmtId="0" fontId="4" fillId="0" borderId="1" xfId="0" applyFont="1" applyBorder="1">
      <alignment vertical="center"/>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3" fontId="4" fillId="0" borderId="1" xfId="0" applyNumberFormat="1" applyFont="1" applyBorder="1" applyAlignment="1">
      <alignment horizontal="right" vertical="center"/>
    </xf>
    <xf numFmtId="0" fontId="10" fillId="0" borderId="1" xfId="0" applyFont="1" applyBorder="1" applyAlignment="1">
      <alignment horizontal="right" vertical="center"/>
    </xf>
    <xf numFmtId="0" fontId="10" fillId="0" borderId="1" xfId="0" applyFont="1" applyBorder="1" applyAlignment="1">
      <alignment horizontal="center" vertical="center"/>
    </xf>
    <xf numFmtId="0" fontId="4" fillId="0" borderId="17" xfId="0" applyFont="1" applyBorder="1" applyAlignment="1">
      <alignment horizontal="right" vertical="center"/>
    </xf>
    <xf numFmtId="0" fontId="4" fillId="0" borderId="15" xfId="0" applyFont="1" applyBorder="1" applyAlignment="1">
      <alignment horizontal="right" vertical="center"/>
    </xf>
    <xf numFmtId="0" fontId="4" fillId="0" borderId="16" xfId="0" applyFont="1" applyBorder="1" applyAlignment="1">
      <alignment horizontal="right" vertical="center"/>
    </xf>
    <xf numFmtId="0" fontId="4" fillId="0" borderId="1" xfId="0" applyFont="1" applyBorder="1" applyAlignment="1">
      <alignment horizontal="left" vertical="center" wrapText="1"/>
    </xf>
    <xf numFmtId="0" fontId="5" fillId="2" borderId="1" xfId="0" applyFont="1" applyFill="1" applyBorder="1" applyAlignment="1">
      <alignment horizontal="center" vertical="center"/>
    </xf>
    <xf numFmtId="0" fontId="5" fillId="2" borderId="5" xfId="0" applyFont="1" applyFill="1" applyBorder="1" applyAlignment="1">
      <alignment horizontal="center" vertical="center"/>
    </xf>
    <xf numFmtId="0" fontId="6" fillId="2" borderId="6" xfId="0" applyFont="1" applyFill="1" applyBorder="1" applyAlignment="1">
      <alignment horizontal="center" vertical="center" wrapText="1"/>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6" fillId="2" borderId="9" xfId="0" applyFont="1" applyFill="1" applyBorder="1" applyAlignment="1">
      <alignment horizontal="center" vertical="center"/>
    </xf>
    <xf numFmtId="177" fontId="54" fillId="0" borderId="26" xfId="0" applyNumberFormat="1" applyFont="1" applyBorder="1">
      <alignment vertical="center"/>
    </xf>
  </cellXfs>
  <cellStyles count="1">
    <cellStyle name="標準" xfId="0" builtinId="0"/>
  </cellStyles>
  <dxfs count="1">
    <dxf>
      <font>
        <sz val="9"/>
        <color rgb="FFA6A6A6"/>
        <name val="游ゴシック"/>
        <charset val="1"/>
      </font>
      <fill>
        <patternFill>
          <bgColor rgb="FFF2F2F2"/>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A6A6A6"/>
      <rgbColor rgb="FF163E64"/>
      <rgbColor rgb="FF339966"/>
      <rgbColor rgb="FF003300"/>
      <rgbColor rgb="FF333300"/>
      <rgbColor rgb="FF993300"/>
      <rgbColor rgb="FF993366"/>
      <rgbColor rgb="FF333399"/>
      <rgbColor rgb="FF0E28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35"/>
  <sheetViews>
    <sheetView topLeftCell="G1" zoomScaleNormal="100" workbookViewId="0">
      <selection activeCell="I14" sqref="I14:I15"/>
    </sheetView>
  </sheetViews>
  <sheetFormatPr defaultColWidth="9" defaultRowHeight="13"/>
  <cols>
    <col min="1" max="1" width="3.5" style="10" customWidth="1"/>
    <col min="2" max="2" width="9" style="10"/>
    <col min="3" max="3" width="10.08203125" style="10" customWidth="1"/>
    <col min="4" max="11" width="9" style="10"/>
    <col min="12" max="24" width="9.08203125" style="10" customWidth="1"/>
    <col min="25" max="25" width="9" style="10"/>
    <col min="26" max="27" width="9.08203125" style="10" customWidth="1"/>
    <col min="28" max="32" width="9" style="10"/>
    <col min="33" max="46" width="9.08203125" style="10" customWidth="1"/>
    <col min="47" max="16384" width="9" style="10"/>
  </cols>
  <sheetData>
    <row r="1" spans="2:46" ht="12.75" customHeight="1">
      <c r="G1" s="10" t="s">
        <v>0</v>
      </c>
      <c r="J1" s="10" t="s">
        <v>1</v>
      </c>
      <c r="K1" s="10" t="s">
        <v>2</v>
      </c>
      <c r="M1" s="10" t="s">
        <v>3</v>
      </c>
      <c r="P1" s="10" t="s">
        <v>4</v>
      </c>
      <c r="S1" s="10" t="s">
        <v>3</v>
      </c>
      <c r="V1" s="10" t="s">
        <v>4</v>
      </c>
      <c r="Y1" s="10" t="s">
        <v>5</v>
      </c>
      <c r="AB1" s="11" t="s">
        <v>6</v>
      </c>
      <c r="AG1" s="10" t="s">
        <v>7</v>
      </c>
    </row>
    <row r="2" spans="2:46" ht="12.75" customHeight="1">
      <c r="B2" s="12"/>
      <c r="C2" s="12"/>
      <c r="D2" s="12"/>
      <c r="E2" s="12"/>
      <c r="F2" s="12"/>
      <c r="G2" s="144" t="s">
        <v>8</v>
      </c>
      <c r="H2" s="144"/>
      <c r="I2" s="144"/>
      <c r="J2" s="9" t="s">
        <v>9</v>
      </c>
      <c r="K2" s="9" t="s">
        <v>10</v>
      </c>
      <c r="L2" s="9"/>
      <c r="M2" s="13" t="s">
        <v>11</v>
      </c>
      <c r="N2" s="14"/>
      <c r="O2" s="14"/>
      <c r="P2" s="13" t="s">
        <v>12</v>
      </c>
      <c r="Q2" s="14"/>
      <c r="R2" s="14"/>
      <c r="S2" s="15" t="s">
        <v>11</v>
      </c>
      <c r="T2" s="16"/>
      <c r="U2" s="17"/>
      <c r="V2" s="15" t="s">
        <v>12</v>
      </c>
      <c r="W2" s="15"/>
      <c r="X2" s="15"/>
      <c r="Y2" s="145" t="s">
        <v>13</v>
      </c>
      <c r="Z2" s="145"/>
      <c r="AA2" s="145"/>
      <c r="AB2" s="146" t="s">
        <v>14</v>
      </c>
      <c r="AC2" s="146"/>
      <c r="AD2" s="146"/>
      <c r="AE2" s="146"/>
      <c r="AF2" s="146"/>
      <c r="AG2" s="147" t="s">
        <v>7</v>
      </c>
      <c r="AH2" s="147"/>
      <c r="AI2" s="147"/>
      <c r="AJ2" s="147"/>
      <c r="AK2" s="147"/>
      <c r="AL2" s="147"/>
      <c r="AM2" s="147"/>
      <c r="AN2" s="147"/>
      <c r="AO2" s="147"/>
      <c r="AP2" s="147"/>
      <c r="AQ2" s="147"/>
      <c r="AR2" s="147"/>
      <c r="AS2" s="147"/>
      <c r="AT2" s="8"/>
    </row>
    <row r="3" spans="2:46" ht="24" customHeight="1">
      <c r="B3" s="12"/>
      <c r="C3" s="12"/>
      <c r="D3" s="12"/>
      <c r="E3" s="12"/>
      <c r="F3" s="12"/>
      <c r="G3" s="144"/>
      <c r="H3" s="144"/>
      <c r="I3" s="144"/>
      <c r="J3" s="18" t="s">
        <v>15</v>
      </c>
      <c r="K3" s="18" t="s">
        <v>15</v>
      </c>
      <c r="L3" s="18" t="s">
        <v>16</v>
      </c>
      <c r="M3" s="19" t="s">
        <v>17</v>
      </c>
      <c r="N3" s="14"/>
      <c r="O3" s="20"/>
      <c r="P3" s="13" t="s">
        <v>18</v>
      </c>
      <c r="Q3" s="14"/>
      <c r="R3" s="20"/>
      <c r="S3" s="21" t="s">
        <v>17</v>
      </c>
      <c r="T3" s="21" t="s">
        <v>19</v>
      </c>
      <c r="U3" s="22" t="s">
        <v>20</v>
      </c>
      <c r="V3" s="23" t="s">
        <v>18</v>
      </c>
      <c r="W3" s="23" t="s">
        <v>21</v>
      </c>
      <c r="X3" s="21" t="s">
        <v>22</v>
      </c>
      <c r="Y3" s="145"/>
      <c r="Z3" s="145"/>
      <c r="AA3" s="145"/>
      <c r="AB3" s="146"/>
      <c r="AC3" s="146"/>
      <c r="AD3" s="146"/>
      <c r="AE3" s="146"/>
      <c r="AF3" s="146"/>
      <c r="AG3" s="148" t="s">
        <v>11</v>
      </c>
      <c r="AH3" s="148"/>
      <c r="AI3" s="148" t="s">
        <v>23</v>
      </c>
      <c r="AJ3" s="148"/>
      <c r="AK3" s="148"/>
      <c r="AL3" s="148" t="s">
        <v>24</v>
      </c>
      <c r="AM3" s="148"/>
      <c r="AN3" s="148"/>
      <c r="AO3" s="149" t="s">
        <v>25</v>
      </c>
      <c r="AP3" s="149"/>
      <c r="AQ3" s="149"/>
      <c r="AR3" s="149"/>
      <c r="AS3" s="149"/>
      <c r="AT3" s="24" t="s">
        <v>26</v>
      </c>
    </row>
    <row r="4" spans="2:46" ht="24" customHeight="1">
      <c r="B4" s="25" t="s">
        <v>27</v>
      </c>
      <c r="C4" s="25" t="s">
        <v>28</v>
      </c>
      <c r="D4" s="26" t="s">
        <v>29</v>
      </c>
      <c r="E4" s="26" t="s">
        <v>30</v>
      </c>
      <c r="F4" s="25" t="s">
        <v>31</v>
      </c>
      <c r="G4" s="27" t="s">
        <v>32</v>
      </c>
      <c r="H4" s="27" t="s">
        <v>13</v>
      </c>
      <c r="I4" s="27" t="s">
        <v>33</v>
      </c>
      <c r="J4" s="27"/>
      <c r="K4" s="27"/>
      <c r="L4" s="27"/>
      <c r="M4" s="28" t="s">
        <v>34</v>
      </c>
      <c r="N4" s="28" t="s">
        <v>35</v>
      </c>
      <c r="O4" s="28" t="s">
        <v>36</v>
      </c>
      <c r="P4" s="28" t="s">
        <v>34</v>
      </c>
      <c r="Q4" s="28" t="s">
        <v>35</v>
      </c>
      <c r="R4" s="28" t="s">
        <v>36</v>
      </c>
      <c r="S4" s="27" t="s">
        <v>37</v>
      </c>
      <c r="T4" s="27" t="s">
        <v>37</v>
      </c>
      <c r="U4" s="27" t="s">
        <v>37</v>
      </c>
      <c r="V4" s="27" t="s">
        <v>37</v>
      </c>
      <c r="W4" s="27" t="s">
        <v>37</v>
      </c>
      <c r="X4" s="27" t="s">
        <v>37</v>
      </c>
      <c r="Y4" s="29" t="s">
        <v>38</v>
      </c>
      <c r="Z4" s="30" t="s">
        <v>39</v>
      </c>
      <c r="AA4" s="30" t="s">
        <v>40</v>
      </c>
      <c r="AB4" s="30" t="s">
        <v>41</v>
      </c>
      <c r="AC4" s="30" t="s">
        <v>42</v>
      </c>
      <c r="AD4" s="30" t="s">
        <v>43</v>
      </c>
      <c r="AE4" s="30" t="s">
        <v>44</v>
      </c>
      <c r="AF4" s="31" t="s">
        <v>45</v>
      </c>
      <c r="AG4" s="30" t="s">
        <v>17</v>
      </c>
      <c r="AH4" s="30" t="s">
        <v>46</v>
      </c>
      <c r="AI4" s="30" t="s">
        <v>20</v>
      </c>
      <c r="AJ4" s="30" t="s">
        <v>39</v>
      </c>
      <c r="AK4" s="30" t="s">
        <v>40</v>
      </c>
      <c r="AL4" s="31" t="s">
        <v>18</v>
      </c>
      <c r="AM4" s="31" t="s">
        <v>21</v>
      </c>
      <c r="AN4" s="30" t="s">
        <v>47</v>
      </c>
      <c r="AO4" s="30" t="s">
        <v>41</v>
      </c>
      <c r="AP4" s="30" t="s">
        <v>48</v>
      </c>
      <c r="AQ4" s="30" t="s">
        <v>44</v>
      </c>
      <c r="AR4" s="31" t="s">
        <v>45</v>
      </c>
      <c r="AS4" s="31" t="s">
        <v>49</v>
      </c>
      <c r="AT4" s="32"/>
    </row>
    <row r="5" spans="2:46" ht="19.5" customHeight="1">
      <c r="B5" s="128" t="s">
        <v>50</v>
      </c>
      <c r="C5" s="133">
        <v>45717</v>
      </c>
      <c r="D5" s="134" t="s">
        <v>51</v>
      </c>
      <c r="E5" s="134" t="s">
        <v>52</v>
      </c>
      <c r="F5" s="134" t="s">
        <v>53</v>
      </c>
      <c r="G5" s="130" t="s">
        <v>54</v>
      </c>
      <c r="H5" s="130" t="s">
        <v>54</v>
      </c>
      <c r="I5" s="130" t="s">
        <v>54</v>
      </c>
      <c r="J5" s="130" t="s">
        <v>55</v>
      </c>
      <c r="K5" s="130" t="s">
        <v>55</v>
      </c>
      <c r="L5" s="130">
        <v>12</v>
      </c>
      <c r="M5" s="131">
        <v>150</v>
      </c>
      <c r="N5" s="131">
        <v>400</v>
      </c>
      <c r="O5" s="132">
        <v>1000</v>
      </c>
      <c r="P5" s="125">
        <v>200</v>
      </c>
      <c r="Q5" s="125">
        <v>400</v>
      </c>
      <c r="R5" s="125">
        <v>600</v>
      </c>
      <c r="S5" s="125">
        <v>254</v>
      </c>
      <c r="T5" s="127">
        <v>0.9</v>
      </c>
      <c r="U5" s="127">
        <v>7.0000000000000007E-2</v>
      </c>
      <c r="V5" s="125">
        <v>283</v>
      </c>
      <c r="W5" s="125">
        <v>254</v>
      </c>
      <c r="X5" s="127">
        <v>0.4</v>
      </c>
      <c r="Y5" s="129" t="s">
        <v>56</v>
      </c>
      <c r="Z5" s="125">
        <v>433</v>
      </c>
      <c r="AA5" s="125">
        <v>433</v>
      </c>
      <c r="AB5" s="34" t="s">
        <v>57</v>
      </c>
      <c r="AC5" s="34" t="s">
        <v>58</v>
      </c>
      <c r="AD5" s="34" t="s">
        <v>59</v>
      </c>
      <c r="AE5" s="34" t="s">
        <v>60</v>
      </c>
      <c r="AF5" s="34" t="s">
        <v>61</v>
      </c>
      <c r="AG5" s="126">
        <v>0.1</v>
      </c>
      <c r="AH5" s="122">
        <v>0.1</v>
      </c>
      <c r="AI5" s="123">
        <v>0.1</v>
      </c>
      <c r="AJ5" s="126">
        <v>0.1</v>
      </c>
      <c r="AK5" s="123">
        <v>0.1</v>
      </c>
      <c r="AL5" s="126">
        <v>8.3000000000000004E-2</v>
      </c>
      <c r="AM5" s="122">
        <v>8.3000000000000004E-2</v>
      </c>
      <c r="AN5" s="123">
        <v>8.3000000000000004E-2</v>
      </c>
      <c r="AO5" s="126">
        <v>0.05</v>
      </c>
      <c r="AP5" s="122">
        <v>0.05</v>
      </c>
      <c r="AQ5" s="122">
        <v>0.05</v>
      </c>
      <c r="AR5" s="123">
        <v>0.05</v>
      </c>
      <c r="AS5" s="124">
        <v>0.05</v>
      </c>
      <c r="AT5" s="124">
        <v>1</v>
      </c>
    </row>
    <row r="6" spans="2:46" ht="19.5" customHeight="1">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39" t="s">
        <v>62</v>
      </c>
      <c r="AC6" s="39" t="s">
        <v>63</v>
      </c>
      <c r="AD6" s="39" t="s">
        <v>64</v>
      </c>
      <c r="AE6" s="39" t="s">
        <v>65</v>
      </c>
      <c r="AF6" s="39" t="s">
        <v>66</v>
      </c>
      <c r="AG6" s="126"/>
      <c r="AH6" s="122"/>
      <c r="AI6" s="123"/>
      <c r="AJ6" s="126"/>
      <c r="AK6" s="123"/>
      <c r="AL6" s="126"/>
      <c r="AM6" s="122"/>
      <c r="AN6" s="123"/>
      <c r="AO6" s="126"/>
      <c r="AP6" s="122"/>
      <c r="AQ6" s="122"/>
      <c r="AR6" s="123"/>
      <c r="AS6" s="124"/>
      <c r="AT6" s="124"/>
    </row>
    <row r="7" spans="2:46" ht="19.5" customHeight="1">
      <c r="B7" s="128" t="s">
        <v>67</v>
      </c>
      <c r="C7" s="133">
        <v>45474</v>
      </c>
      <c r="D7" s="134" t="s">
        <v>51</v>
      </c>
      <c r="E7" s="134" t="s">
        <v>52</v>
      </c>
      <c r="F7" s="40" t="s">
        <v>68</v>
      </c>
      <c r="G7" s="130"/>
      <c r="H7" s="130" t="s">
        <v>54</v>
      </c>
      <c r="I7" s="130" t="s">
        <v>54</v>
      </c>
      <c r="J7" s="130" t="s">
        <v>55</v>
      </c>
      <c r="K7" s="130" t="s">
        <v>55</v>
      </c>
      <c r="L7" s="130">
        <v>12</v>
      </c>
      <c r="M7" s="131" t="s">
        <v>69</v>
      </c>
      <c r="N7" s="131" t="s">
        <v>69</v>
      </c>
      <c r="O7" s="131" t="s">
        <v>69</v>
      </c>
      <c r="P7" s="125">
        <v>200</v>
      </c>
      <c r="Q7" s="125">
        <v>200</v>
      </c>
      <c r="R7" s="125">
        <v>0</v>
      </c>
      <c r="S7" s="125" t="s">
        <v>69</v>
      </c>
      <c r="T7" s="125" t="s">
        <v>69</v>
      </c>
      <c r="U7" s="125" t="s">
        <v>69</v>
      </c>
      <c r="V7" s="125">
        <v>183</v>
      </c>
      <c r="W7" s="125">
        <v>183</v>
      </c>
      <c r="X7" s="127">
        <v>0.4</v>
      </c>
      <c r="Y7" s="41" t="s">
        <v>70</v>
      </c>
      <c r="Z7" s="137">
        <v>1619</v>
      </c>
      <c r="AA7" s="137">
        <v>1619</v>
      </c>
      <c r="AB7" s="143" t="s">
        <v>71</v>
      </c>
      <c r="AC7" s="143" t="s">
        <v>71</v>
      </c>
      <c r="AD7" s="143" t="s">
        <v>71</v>
      </c>
      <c r="AE7" s="143" t="s">
        <v>71</v>
      </c>
      <c r="AF7" s="143" t="s">
        <v>71</v>
      </c>
      <c r="AG7" s="125" t="s">
        <v>69</v>
      </c>
      <c r="AH7" s="125" t="s">
        <v>69</v>
      </c>
      <c r="AI7" s="125" t="s">
        <v>69</v>
      </c>
      <c r="AJ7" s="126">
        <v>0.125</v>
      </c>
      <c r="AK7" s="123">
        <v>0.125</v>
      </c>
      <c r="AL7" s="126">
        <v>0.16700000000000001</v>
      </c>
      <c r="AM7" s="122">
        <v>0.16700000000000001</v>
      </c>
      <c r="AN7" s="123">
        <v>0.16700000000000001</v>
      </c>
      <c r="AO7" s="126">
        <v>0.05</v>
      </c>
      <c r="AP7" s="122">
        <v>0.05</v>
      </c>
      <c r="AQ7" s="122">
        <v>0.05</v>
      </c>
      <c r="AR7" s="123">
        <v>0.05</v>
      </c>
      <c r="AS7" s="124">
        <v>0.05</v>
      </c>
      <c r="AT7" s="124">
        <v>1</v>
      </c>
    </row>
    <row r="8" spans="2:46" ht="19.5" customHeight="1">
      <c r="B8" s="128"/>
      <c r="C8" s="128"/>
      <c r="D8" s="128"/>
      <c r="E8" s="128"/>
      <c r="F8" s="43" t="s">
        <v>72</v>
      </c>
      <c r="G8" s="130"/>
      <c r="H8" s="130"/>
      <c r="I8" s="130"/>
      <c r="J8" s="130"/>
      <c r="K8" s="130"/>
      <c r="L8" s="130"/>
      <c r="M8" s="130"/>
      <c r="N8" s="130"/>
      <c r="O8" s="130"/>
      <c r="P8" s="130"/>
      <c r="Q8" s="130"/>
      <c r="R8" s="130"/>
      <c r="S8" s="130"/>
      <c r="T8" s="130"/>
      <c r="U8" s="130"/>
      <c r="V8" s="130"/>
      <c r="W8" s="130"/>
      <c r="X8" s="130"/>
      <c r="Y8" s="39" t="s">
        <v>73</v>
      </c>
      <c r="Z8" s="137"/>
      <c r="AA8" s="137"/>
      <c r="AB8" s="137"/>
      <c r="AC8" s="137"/>
      <c r="AD8" s="137"/>
      <c r="AE8" s="137"/>
      <c r="AF8" s="137"/>
      <c r="AG8" s="137"/>
      <c r="AH8" s="137"/>
      <c r="AI8" s="137"/>
      <c r="AJ8" s="126"/>
      <c r="AK8" s="123"/>
      <c r="AL8" s="126"/>
      <c r="AM8" s="122"/>
      <c r="AN8" s="123"/>
      <c r="AO8" s="126"/>
      <c r="AP8" s="122"/>
      <c r="AQ8" s="122"/>
      <c r="AR8" s="123"/>
      <c r="AS8" s="124"/>
      <c r="AT8" s="124"/>
    </row>
    <row r="9" spans="2:46" ht="19.5" customHeight="1">
      <c r="B9" s="128" t="s">
        <v>74</v>
      </c>
      <c r="C9" s="133">
        <v>45870</v>
      </c>
      <c r="D9" s="134" t="s">
        <v>51</v>
      </c>
      <c r="E9" s="134" t="s">
        <v>52</v>
      </c>
      <c r="F9" s="134" t="s">
        <v>68</v>
      </c>
      <c r="G9" s="130" t="s">
        <v>54</v>
      </c>
      <c r="H9" s="130" t="s">
        <v>54</v>
      </c>
      <c r="I9" s="130" t="s">
        <v>54</v>
      </c>
      <c r="J9" s="130" t="s">
        <v>75</v>
      </c>
      <c r="K9" s="130" t="s">
        <v>55</v>
      </c>
      <c r="L9" s="130">
        <v>12</v>
      </c>
      <c r="M9" s="131">
        <v>500</v>
      </c>
      <c r="N9" s="132">
        <v>1300</v>
      </c>
      <c r="O9" s="132">
        <v>2500</v>
      </c>
      <c r="P9" s="125">
        <v>270</v>
      </c>
      <c r="Q9" s="125">
        <v>650</v>
      </c>
      <c r="R9" s="137">
        <v>1400</v>
      </c>
      <c r="S9" s="125">
        <v>500</v>
      </c>
      <c r="T9" s="127">
        <v>0.9</v>
      </c>
      <c r="U9" s="127">
        <v>7.0000000000000007E-2</v>
      </c>
      <c r="V9" s="125">
        <v>270</v>
      </c>
      <c r="W9" s="125">
        <v>500</v>
      </c>
      <c r="X9" s="127">
        <v>0.4</v>
      </c>
      <c r="Y9" s="129" t="s">
        <v>76</v>
      </c>
      <c r="Z9" s="125">
        <v>779</v>
      </c>
      <c r="AA9" s="125">
        <v>779</v>
      </c>
      <c r="AB9" s="34" t="s">
        <v>77</v>
      </c>
      <c r="AC9" s="34" t="s">
        <v>78</v>
      </c>
      <c r="AD9" s="34" t="s">
        <v>79</v>
      </c>
      <c r="AE9" s="34" t="s">
        <v>80</v>
      </c>
      <c r="AF9" s="34" t="s">
        <v>81</v>
      </c>
      <c r="AG9" s="126">
        <v>0.1</v>
      </c>
      <c r="AH9" s="122">
        <v>0.1</v>
      </c>
      <c r="AI9" s="123">
        <v>0.1</v>
      </c>
      <c r="AJ9" s="126">
        <v>0.1</v>
      </c>
      <c r="AK9" s="123">
        <v>0.1</v>
      </c>
      <c r="AL9" s="126">
        <v>8.3000000000000004E-2</v>
      </c>
      <c r="AM9" s="122">
        <v>8.3000000000000004E-2</v>
      </c>
      <c r="AN9" s="123">
        <v>8.3000000000000004E-2</v>
      </c>
      <c r="AO9" s="126">
        <v>0.05</v>
      </c>
      <c r="AP9" s="122">
        <v>0.05</v>
      </c>
      <c r="AQ9" s="122">
        <v>0.05</v>
      </c>
      <c r="AR9" s="123">
        <v>0.05</v>
      </c>
      <c r="AS9" s="124">
        <v>0.05</v>
      </c>
      <c r="AT9" s="124">
        <v>1</v>
      </c>
    </row>
    <row r="10" spans="2:46" ht="19.5" customHeight="1">
      <c r="B10" s="128"/>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39" t="s">
        <v>82</v>
      </c>
      <c r="AC10" s="39" t="s">
        <v>83</v>
      </c>
      <c r="AD10" s="39" t="s">
        <v>84</v>
      </c>
      <c r="AE10" s="39" t="s">
        <v>85</v>
      </c>
      <c r="AF10" s="39" t="s">
        <v>86</v>
      </c>
      <c r="AG10" s="126"/>
      <c r="AH10" s="122"/>
      <c r="AI10" s="123"/>
      <c r="AJ10" s="126"/>
      <c r="AK10" s="123"/>
      <c r="AL10" s="126"/>
      <c r="AM10" s="122"/>
      <c r="AN10" s="123"/>
      <c r="AO10" s="126"/>
      <c r="AP10" s="122"/>
      <c r="AQ10" s="122"/>
      <c r="AR10" s="123"/>
      <c r="AS10" s="124"/>
      <c r="AT10" s="124"/>
    </row>
    <row r="11" spans="2:46" ht="19.5" customHeight="1">
      <c r="B11" s="128" t="s">
        <v>87</v>
      </c>
      <c r="C11" s="133">
        <v>45597</v>
      </c>
      <c r="D11" s="134" t="s">
        <v>88</v>
      </c>
      <c r="E11" s="134" t="s">
        <v>52</v>
      </c>
      <c r="F11" s="134" t="s">
        <v>68</v>
      </c>
      <c r="G11" s="134"/>
      <c r="H11" s="130"/>
      <c r="I11" s="130" t="s">
        <v>54</v>
      </c>
      <c r="J11" s="130" t="s">
        <v>55</v>
      </c>
      <c r="K11" s="130" t="s">
        <v>55</v>
      </c>
      <c r="L11" s="130">
        <v>12</v>
      </c>
      <c r="M11" s="125" t="s">
        <v>69</v>
      </c>
      <c r="N11" s="125" t="s">
        <v>69</v>
      </c>
      <c r="O11" s="125" t="s">
        <v>69</v>
      </c>
      <c r="P11" s="125">
        <v>200</v>
      </c>
      <c r="Q11" s="125">
        <v>400</v>
      </c>
      <c r="R11" s="125">
        <v>600</v>
      </c>
      <c r="S11" s="125" t="s">
        <v>69</v>
      </c>
      <c r="T11" s="125" t="s">
        <v>69</v>
      </c>
      <c r="U11" s="125" t="s">
        <v>69</v>
      </c>
      <c r="V11" s="125">
        <v>350</v>
      </c>
      <c r="W11" s="125">
        <v>350</v>
      </c>
      <c r="X11" s="127">
        <v>0.5</v>
      </c>
      <c r="Y11" s="129" t="s">
        <v>69</v>
      </c>
      <c r="Z11" s="125" t="s">
        <v>69</v>
      </c>
      <c r="AA11" s="125" t="s">
        <v>69</v>
      </c>
      <c r="AB11" s="136" t="s">
        <v>89</v>
      </c>
      <c r="AC11" s="34" t="s">
        <v>90</v>
      </c>
      <c r="AD11" s="34" t="s">
        <v>91</v>
      </c>
      <c r="AE11" s="34" t="s">
        <v>92</v>
      </c>
      <c r="AF11" s="34" t="s">
        <v>93</v>
      </c>
      <c r="AG11" s="141" t="s">
        <v>69</v>
      </c>
      <c r="AH11" s="142" t="s">
        <v>69</v>
      </c>
      <c r="AI11" s="140" t="s">
        <v>69</v>
      </c>
      <c r="AJ11" s="141" t="s">
        <v>69</v>
      </c>
      <c r="AK11" s="140" t="s">
        <v>69</v>
      </c>
      <c r="AL11" s="126">
        <v>0.25</v>
      </c>
      <c r="AM11" s="122">
        <v>0.25</v>
      </c>
      <c r="AN11" s="123">
        <v>0.25</v>
      </c>
      <c r="AO11" s="126">
        <v>0.05</v>
      </c>
      <c r="AP11" s="122">
        <v>0.05</v>
      </c>
      <c r="AQ11" s="122">
        <v>0.05</v>
      </c>
      <c r="AR11" s="123">
        <v>0.05</v>
      </c>
      <c r="AS11" s="124">
        <v>0.05</v>
      </c>
      <c r="AT11" s="124">
        <v>1</v>
      </c>
    </row>
    <row r="12" spans="2:46" ht="19.5" customHeight="1">
      <c r="B12" s="128"/>
      <c r="C12" s="128"/>
      <c r="D12" s="128"/>
      <c r="E12" s="128"/>
      <c r="F12" s="128"/>
      <c r="G12" s="128"/>
      <c r="H12" s="128"/>
      <c r="I12" s="128"/>
      <c r="J12" s="128"/>
      <c r="K12" s="128"/>
      <c r="L12" s="128"/>
      <c r="M12" s="128"/>
      <c r="N12" s="128"/>
      <c r="O12" s="128"/>
      <c r="P12" s="128"/>
      <c r="Q12" s="128"/>
      <c r="R12" s="128"/>
      <c r="S12" s="128"/>
      <c r="T12" s="128"/>
      <c r="U12" s="128"/>
      <c r="V12" s="128"/>
      <c r="W12" s="128"/>
      <c r="X12" s="128"/>
      <c r="Y12" s="128"/>
      <c r="Z12" s="128"/>
      <c r="AA12" s="128"/>
      <c r="AB12" s="128"/>
      <c r="AC12" s="39" t="s">
        <v>94</v>
      </c>
      <c r="AD12" s="39" t="s">
        <v>95</v>
      </c>
      <c r="AE12" s="39" t="s">
        <v>96</v>
      </c>
      <c r="AF12" s="39" t="s">
        <v>97</v>
      </c>
      <c r="AG12" s="141"/>
      <c r="AH12" s="142"/>
      <c r="AI12" s="140"/>
      <c r="AJ12" s="141"/>
      <c r="AK12" s="140"/>
      <c r="AL12" s="126"/>
      <c r="AM12" s="122"/>
      <c r="AN12" s="123"/>
      <c r="AO12" s="126"/>
      <c r="AP12" s="122"/>
      <c r="AQ12" s="122"/>
      <c r="AR12" s="123"/>
      <c r="AS12" s="124"/>
      <c r="AT12" s="124"/>
    </row>
    <row r="13" spans="2:46" ht="19.5" customHeight="1">
      <c r="B13" s="7" t="s">
        <v>98</v>
      </c>
      <c r="C13" s="6">
        <v>46054</v>
      </c>
      <c r="D13" s="5" t="s">
        <v>51</v>
      </c>
      <c r="E13" s="5" t="s">
        <v>52</v>
      </c>
      <c r="F13" s="5" t="s">
        <v>68</v>
      </c>
      <c r="G13" s="5"/>
      <c r="H13" s="4" t="s">
        <v>54</v>
      </c>
      <c r="I13" s="4" t="s">
        <v>54</v>
      </c>
      <c r="J13" s="4" t="s">
        <v>75</v>
      </c>
      <c r="K13" s="4" t="s">
        <v>55</v>
      </c>
      <c r="L13" s="4">
        <v>6</v>
      </c>
      <c r="M13" s="2" t="s">
        <v>69</v>
      </c>
      <c r="N13" s="2" t="s">
        <v>69</v>
      </c>
      <c r="O13" s="2" t="s">
        <v>69</v>
      </c>
      <c r="P13" s="2">
        <v>200</v>
      </c>
      <c r="Q13" s="2">
        <v>400</v>
      </c>
      <c r="R13" s="2">
        <v>600</v>
      </c>
      <c r="S13" s="2" t="s">
        <v>69</v>
      </c>
      <c r="T13" s="2" t="s">
        <v>69</v>
      </c>
      <c r="U13" s="2" t="s">
        <v>69</v>
      </c>
      <c r="V13" s="2">
        <v>100</v>
      </c>
      <c r="W13" s="2">
        <v>100</v>
      </c>
      <c r="X13" s="1">
        <v>0.4</v>
      </c>
      <c r="Y13" s="47" t="s">
        <v>99</v>
      </c>
      <c r="Z13" s="2">
        <v>100</v>
      </c>
      <c r="AA13" s="2">
        <v>100</v>
      </c>
      <c r="AB13" s="42" t="s">
        <v>100</v>
      </c>
      <c r="AC13" s="42" t="s">
        <v>100</v>
      </c>
      <c r="AD13" s="42" t="s">
        <v>100</v>
      </c>
      <c r="AE13" s="42" t="s">
        <v>100</v>
      </c>
      <c r="AF13" s="42" t="s">
        <v>100</v>
      </c>
      <c r="AG13" s="44" t="s">
        <v>69</v>
      </c>
      <c r="AH13" s="45" t="s">
        <v>69</v>
      </c>
      <c r="AI13" s="46" t="s">
        <v>69</v>
      </c>
      <c r="AJ13" s="35">
        <v>0.125</v>
      </c>
      <c r="AK13" s="37">
        <v>0.125</v>
      </c>
      <c r="AL13" s="35">
        <v>0.16700000000000001</v>
      </c>
      <c r="AM13" s="36">
        <v>0.16700000000000001</v>
      </c>
      <c r="AN13" s="37">
        <v>0.16700000000000001</v>
      </c>
      <c r="AO13" s="35">
        <v>0.05</v>
      </c>
      <c r="AP13" s="36">
        <v>0.05</v>
      </c>
      <c r="AQ13" s="36">
        <v>0.05</v>
      </c>
      <c r="AR13" s="37">
        <v>0.05</v>
      </c>
      <c r="AS13" s="37">
        <v>0.05</v>
      </c>
      <c r="AT13" s="38">
        <v>1</v>
      </c>
    </row>
    <row r="14" spans="2:46" ht="19.5" customHeight="1">
      <c r="B14" s="128" t="s">
        <v>101</v>
      </c>
      <c r="C14" s="133">
        <v>45748</v>
      </c>
      <c r="D14" s="134" t="s">
        <v>88</v>
      </c>
      <c r="E14" s="134" t="s">
        <v>52</v>
      </c>
      <c r="F14" s="134" t="s">
        <v>102</v>
      </c>
      <c r="G14" s="130"/>
      <c r="H14" s="130" t="s">
        <v>54</v>
      </c>
      <c r="I14" s="130" t="s">
        <v>54</v>
      </c>
      <c r="J14" s="130" t="s">
        <v>55</v>
      </c>
      <c r="K14" s="130" t="s">
        <v>55</v>
      </c>
      <c r="L14" s="130">
        <v>12</v>
      </c>
      <c r="M14" s="125" t="s">
        <v>69</v>
      </c>
      <c r="N14" s="125" t="s">
        <v>69</v>
      </c>
      <c r="O14" s="125" t="s">
        <v>69</v>
      </c>
      <c r="P14" s="125">
        <v>200</v>
      </c>
      <c r="Q14" s="125">
        <v>400</v>
      </c>
      <c r="R14" s="125">
        <v>600</v>
      </c>
      <c r="S14" s="125" t="s">
        <v>69</v>
      </c>
      <c r="T14" s="125" t="s">
        <v>69</v>
      </c>
      <c r="U14" s="125" t="s">
        <v>69</v>
      </c>
      <c r="V14" s="125">
        <v>267</v>
      </c>
      <c r="W14" s="125">
        <v>267</v>
      </c>
      <c r="X14" s="127">
        <v>0.5</v>
      </c>
      <c r="Y14" s="135" t="s">
        <v>103</v>
      </c>
      <c r="Z14" s="125">
        <v>90</v>
      </c>
      <c r="AA14" s="125">
        <v>90</v>
      </c>
      <c r="AB14" s="136" t="s">
        <v>104</v>
      </c>
      <c r="AC14" s="34" t="s">
        <v>105</v>
      </c>
      <c r="AD14" s="34" t="s">
        <v>106</v>
      </c>
      <c r="AE14" s="34" t="s">
        <v>107</v>
      </c>
      <c r="AF14" s="34" t="s">
        <v>108</v>
      </c>
      <c r="AG14" s="141" t="s">
        <v>69</v>
      </c>
      <c r="AH14" s="142" t="s">
        <v>69</v>
      </c>
      <c r="AI14" s="140" t="s">
        <v>69</v>
      </c>
      <c r="AJ14" s="126">
        <v>0.125</v>
      </c>
      <c r="AK14" s="123">
        <v>0.125</v>
      </c>
      <c r="AL14" s="126">
        <v>0.16700000000000001</v>
      </c>
      <c r="AM14" s="122">
        <v>0.16700000000000001</v>
      </c>
      <c r="AN14" s="123">
        <v>0.16700000000000001</v>
      </c>
      <c r="AO14" s="126">
        <v>0.05</v>
      </c>
      <c r="AP14" s="122">
        <v>0.05</v>
      </c>
      <c r="AQ14" s="122">
        <v>0.05</v>
      </c>
      <c r="AR14" s="123">
        <v>0.05</v>
      </c>
      <c r="AS14" s="124">
        <v>0.05</v>
      </c>
      <c r="AT14" s="124">
        <v>1</v>
      </c>
    </row>
    <row r="15" spans="2:46" ht="19.5" customHeight="1">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39" t="s">
        <v>109</v>
      </c>
      <c r="AD15" s="39" t="s">
        <v>110</v>
      </c>
      <c r="AE15" s="39" t="s">
        <v>111</v>
      </c>
      <c r="AF15" s="39" t="s">
        <v>112</v>
      </c>
      <c r="AG15" s="141"/>
      <c r="AH15" s="142"/>
      <c r="AI15" s="140"/>
      <c r="AJ15" s="126"/>
      <c r="AK15" s="123"/>
      <c r="AL15" s="126"/>
      <c r="AM15" s="122"/>
      <c r="AN15" s="123"/>
      <c r="AO15" s="126"/>
      <c r="AP15" s="122"/>
      <c r="AQ15" s="122"/>
      <c r="AR15" s="123"/>
      <c r="AS15" s="124"/>
      <c r="AT15" s="124"/>
    </row>
    <row r="16" spans="2:46" ht="19.5" customHeight="1">
      <c r="B16" s="128" t="s">
        <v>113</v>
      </c>
      <c r="C16" s="133">
        <v>45870</v>
      </c>
      <c r="D16" s="134" t="s">
        <v>51</v>
      </c>
      <c r="E16" s="134" t="s">
        <v>52</v>
      </c>
      <c r="F16" s="40" t="s">
        <v>114</v>
      </c>
      <c r="G16" s="130" t="s">
        <v>54</v>
      </c>
      <c r="H16" s="130" t="s">
        <v>54</v>
      </c>
      <c r="I16" s="130" t="s">
        <v>54</v>
      </c>
      <c r="J16" s="130" t="s">
        <v>75</v>
      </c>
      <c r="K16" s="130" t="s">
        <v>55</v>
      </c>
      <c r="L16" s="130">
        <v>12</v>
      </c>
      <c r="M16" s="131">
        <v>400</v>
      </c>
      <c r="N16" s="131">
        <v>600</v>
      </c>
      <c r="O16" s="132">
        <v>1000</v>
      </c>
      <c r="P16" s="125">
        <v>200</v>
      </c>
      <c r="Q16" s="125">
        <v>400</v>
      </c>
      <c r="R16" s="125">
        <v>600</v>
      </c>
      <c r="S16" s="125">
        <v>400</v>
      </c>
      <c r="T16" s="127">
        <v>0.9</v>
      </c>
      <c r="U16" s="127">
        <v>7.0000000000000007E-2</v>
      </c>
      <c r="V16" s="125">
        <v>200</v>
      </c>
      <c r="W16" s="125">
        <v>400</v>
      </c>
      <c r="X16" s="127">
        <v>0.4</v>
      </c>
      <c r="Y16" s="129" t="s">
        <v>115</v>
      </c>
      <c r="Z16" s="125">
        <v>250</v>
      </c>
      <c r="AA16" s="125">
        <v>250</v>
      </c>
      <c r="AB16" s="34" t="s">
        <v>116</v>
      </c>
      <c r="AC16" s="34" t="s">
        <v>117</v>
      </c>
      <c r="AD16" s="34" t="s">
        <v>118</v>
      </c>
      <c r="AE16" s="34" t="s">
        <v>119</v>
      </c>
      <c r="AF16" s="34" t="s">
        <v>120</v>
      </c>
      <c r="AG16" s="126">
        <v>0.1</v>
      </c>
      <c r="AH16" s="122">
        <v>0.1</v>
      </c>
      <c r="AI16" s="123">
        <v>0.1</v>
      </c>
      <c r="AJ16" s="126">
        <v>0.1</v>
      </c>
      <c r="AK16" s="123">
        <v>0.1</v>
      </c>
      <c r="AL16" s="126">
        <v>8.3000000000000004E-2</v>
      </c>
      <c r="AM16" s="122">
        <v>8.3000000000000004E-2</v>
      </c>
      <c r="AN16" s="123">
        <v>8.3000000000000004E-2</v>
      </c>
      <c r="AO16" s="126">
        <v>0.05</v>
      </c>
      <c r="AP16" s="122">
        <v>0.05</v>
      </c>
      <c r="AQ16" s="122">
        <v>0.05</v>
      </c>
      <c r="AR16" s="123">
        <v>0.05</v>
      </c>
      <c r="AS16" s="124">
        <v>0.05</v>
      </c>
      <c r="AT16" s="124">
        <v>1</v>
      </c>
    </row>
    <row r="17" spans="2:46" ht="19.5" customHeight="1">
      <c r="B17" s="128"/>
      <c r="C17" s="128"/>
      <c r="D17" s="128"/>
      <c r="E17" s="128"/>
      <c r="F17" s="43" t="s">
        <v>121</v>
      </c>
      <c r="G17" s="130"/>
      <c r="H17" s="130"/>
      <c r="I17" s="130"/>
      <c r="J17" s="130"/>
      <c r="K17" s="130"/>
      <c r="L17" s="130"/>
      <c r="M17" s="130"/>
      <c r="N17" s="130"/>
      <c r="O17" s="130"/>
      <c r="P17" s="130"/>
      <c r="Q17" s="130"/>
      <c r="R17" s="130"/>
      <c r="S17" s="130"/>
      <c r="T17" s="130"/>
      <c r="U17" s="130"/>
      <c r="V17" s="130"/>
      <c r="W17" s="130"/>
      <c r="X17" s="130"/>
      <c r="Y17" s="130"/>
      <c r="Z17" s="130"/>
      <c r="AA17" s="130"/>
      <c r="AB17" s="39" t="s">
        <v>122</v>
      </c>
      <c r="AC17" s="39" t="s">
        <v>123</v>
      </c>
      <c r="AD17" s="39" t="s">
        <v>124</v>
      </c>
      <c r="AE17" s="39" t="s">
        <v>65</v>
      </c>
      <c r="AF17" s="39" t="s">
        <v>125</v>
      </c>
      <c r="AG17" s="126"/>
      <c r="AH17" s="122"/>
      <c r="AI17" s="123"/>
      <c r="AJ17" s="126"/>
      <c r="AK17" s="123"/>
      <c r="AL17" s="126"/>
      <c r="AM17" s="122"/>
      <c r="AN17" s="123"/>
      <c r="AO17" s="126"/>
      <c r="AP17" s="122"/>
      <c r="AQ17" s="122"/>
      <c r="AR17" s="123"/>
      <c r="AS17" s="124"/>
      <c r="AT17" s="124"/>
    </row>
    <row r="18" spans="2:46" ht="19.5" customHeight="1">
      <c r="B18" s="128" t="s">
        <v>126</v>
      </c>
      <c r="C18" s="133">
        <v>45992</v>
      </c>
      <c r="D18" s="134" t="s">
        <v>88</v>
      </c>
      <c r="E18" s="134" t="s">
        <v>52</v>
      </c>
      <c r="F18" s="134" t="s">
        <v>127</v>
      </c>
      <c r="G18" s="139" t="s">
        <v>54</v>
      </c>
      <c r="H18" s="130" t="s">
        <v>54</v>
      </c>
      <c r="I18" s="130" t="s">
        <v>54</v>
      </c>
      <c r="J18" s="130" t="s">
        <v>75</v>
      </c>
      <c r="K18" s="130" t="s">
        <v>55</v>
      </c>
      <c r="L18" s="130">
        <v>8</v>
      </c>
      <c r="M18" s="131">
        <v>330</v>
      </c>
      <c r="N18" s="131">
        <v>660</v>
      </c>
      <c r="O18" s="132">
        <v>1126</v>
      </c>
      <c r="P18" s="125">
        <v>330</v>
      </c>
      <c r="Q18" s="125">
        <v>462</v>
      </c>
      <c r="R18" s="125">
        <v>704</v>
      </c>
      <c r="S18" s="125">
        <v>220</v>
      </c>
      <c r="T18" s="127">
        <v>0.9</v>
      </c>
      <c r="U18" s="127">
        <v>7.0000000000000007E-2</v>
      </c>
      <c r="V18" s="125">
        <v>133</v>
      </c>
      <c r="W18" s="125">
        <v>220</v>
      </c>
      <c r="X18" s="127">
        <v>0.5</v>
      </c>
      <c r="Y18" s="129" t="s">
        <v>128</v>
      </c>
      <c r="Z18" s="125">
        <v>100</v>
      </c>
      <c r="AA18" s="125">
        <v>100</v>
      </c>
      <c r="AB18" s="136" t="s">
        <v>129</v>
      </c>
      <c r="AC18" s="34" t="s">
        <v>130</v>
      </c>
      <c r="AD18" s="34" t="s">
        <v>131</v>
      </c>
      <c r="AE18" s="34" t="s">
        <v>132</v>
      </c>
      <c r="AF18" s="34" t="s">
        <v>133</v>
      </c>
      <c r="AG18" s="126">
        <v>8.3000000000000004E-2</v>
      </c>
      <c r="AH18" s="122">
        <v>8.3000000000000004E-2</v>
      </c>
      <c r="AI18" s="123">
        <v>8.3000000000000004E-2</v>
      </c>
      <c r="AJ18" s="126">
        <v>0.125</v>
      </c>
      <c r="AK18" s="123">
        <v>0.125</v>
      </c>
      <c r="AL18" s="126">
        <v>8.3000000000000004E-2</v>
      </c>
      <c r="AM18" s="122">
        <v>8.3000000000000004E-2</v>
      </c>
      <c r="AN18" s="123">
        <v>8.3000000000000004E-2</v>
      </c>
      <c r="AO18" s="126">
        <v>0.05</v>
      </c>
      <c r="AP18" s="122">
        <v>0.05</v>
      </c>
      <c r="AQ18" s="122">
        <v>0.05</v>
      </c>
      <c r="AR18" s="123">
        <v>0.05</v>
      </c>
      <c r="AS18" s="124">
        <v>0.05</v>
      </c>
      <c r="AT18" s="124">
        <v>1</v>
      </c>
    </row>
    <row r="19" spans="2:46" ht="19.5" customHeight="1">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c r="AA19" s="128"/>
      <c r="AB19" s="128"/>
      <c r="AC19" s="39" t="s">
        <v>134</v>
      </c>
      <c r="AD19" s="39" t="s">
        <v>135</v>
      </c>
      <c r="AE19" s="39" t="s">
        <v>136</v>
      </c>
      <c r="AF19" s="39" t="s">
        <v>137</v>
      </c>
      <c r="AG19" s="126"/>
      <c r="AH19" s="122"/>
      <c r="AI19" s="123"/>
      <c r="AJ19" s="126"/>
      <c r="AK19" s="123"/>
      <c r="AL19" s="126"/>
      <c r="AM19" s="122"/>
      <c r="AN19" s="123"/>
      <c r="AO19" s="126"/>
      <c r="AP19" s="122"/>
      <c r="AQ19" s="122"/>
      <c r="AR19" s="123"/>
      <c r="AS19" s="124"/>
      <c r="AT19" s="124"/>
    </row>
    <row r="20" spans="2:46" ht="19.5" customHeight="1">
      <c r="B20" s="128" t="s">
        <v>138</v>
      </c>
      <c r="C20" s="133">
        <v>45931</v>
      </c>
      <c r="D20" s="134" t="s">
        <v>88</v>
      </c>
      <c r="E20" s="134" t="s">
        <v>52</v>
      </c>
      <c r="F20" s="134" t="s">
        <v>139</v>
      </c>
      <c r="G20" s="130" t="s">
        <v>54</v>
      </c>
      <c r="H20" s="130" t="s">
        <v>54</v>
      </c>
      <c r="I20" s="130" t="s">
        <v>54</v>
      </c>
      <c r="J20" s="130" t="s">
        <v>75</v>
      </c>
      <c r="K20" s="130" t="s">
        <v>55</v>
      </c>
      <c r="L20" s="130">
        <v>10</v>
      </c>
      <c r="M20" s="125">
        <v>50</v>
      </c>
      <c r="N20" s="125">
        <v>150</v>
      </c>
      <c r="O20" s="125">
        <v>250</v>
      </c>
      <c r="P20" s="125">
        <v>150</v>
      </c>
      <c r="Q20" s="125">
        <v>300</v>
      </c>
      <c r="R20" s="125">
        <v>400</v>
      </c>
      <c r="S20" s="125">
        <v>42</v>
      </c>
      <c r="T20" s="127">
        <v>0.9</v>
      </c>
      <c r="U20" s="127">
        <v>7.0000000000000007E-2</v>
      </c>
      <c r="V20" s="125">
        <v>125</v>
      </c>
      <c r="W20" s="125">
        <v>125</v>
      </c>
      <c r="X20" s="127">
        <v>0.5</v>
      </c>
      <c r="Y20" s="135" t="s">
        <v>140</v>
      </c>
      <c r="Z20" s="125">
        <v>300</v>
      </c>
      <c r="AA20" s="125">
        <v>300</v>
      </c>
      <c r="AB20" s="136" t="s">
        <v>141</v>
      </c>
      <c r="AC20" s="34" t="s">
        <v>142</v>
      </c>
      <c r="AD20" s="34" t="s">
        <v>143</v>
      </c>
      <c r="AE20" s="34" t="s">
        <v>144</v>
      </c>
      <c r="AF20" s="34" t="s">
        <v>145</v>
      </c>
      <c r="AG20" s="126">
        <v>8.3000000000000004E-2</v>
      </c>
      <c r="AH20" s="122">
        <v>8.3000000000000004E-2</v>
      </c>
      <c r="AI20" s="123">
        <v>8.3000000000000004E-2</v>
      </c>
      <c r="AJ20" s="126">
        <v>0.125</v>
      </c>
      <c r="AK20" s="123">
        <v>0.125</v>
      </c>
      <c r="AL20" s="126">
        <v>8.3000000000000004E-2</v>
      </c>
      <c r="AM20" s="122">
        <v>8.3000000000000004E-2</v>
      </c>
      <c r="AN20" s="123">
        <v>8.3000000000000004E-2</v>
      </c>
      <c r="AO20" s="126">
        <v>0.05</v>
      </c>
      <c r="AP20" s="122">
        <v>0.05</v>
      </c>
      <c r="AQ20" s="122">
        <v>0.05</v>
      </c>
      <c r="AR20" s="123">
        <v>0.05</v>
      </c>
      <c r="AS20" s="124">
        <v>0.05</v>
      </c>
      <c r="AT20" s="124">
        <v>1</v>
      </c>
    </row>
    <row r="21" spans="2:46" ht="19.5" customHeight="1">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39" t="s">
        <v>146</v>
      </c>
      <c r="AD21" s="39" t="s">
        <v>147</v>
      </c>
      <c r="AE21" s="39" t="s">
        <v>148</v>
      </c>
      <c r="AF21" s="39" t="s">
        <v>149</v>
      </c>
      <c r="AG21" s="126"/>
      <c r="AH21" s="122"/>
      <c r="AI21" s="123"/>
      <c r="AJ21" s="126"/>
      <c r="AK21" s="123"/>
      <c r="AL21" s="126"/>
      <c r="AM21" s="122"/>
      <c r="AN21" s="123"/>
      <c r="AO21" s="126"/>
      <c r="AP21" s="122"/>
      <c r="AQ21" s="122"/>
      <c r="AR21" s="123"/>
      <c r="AS21" s="124"/>
      <c r="AT21" s="124"/>
    </row>
    <row r="22" spans="2:46" ht="19.5" customHeight="1">
      <c r="B22" s="128" t="s">
        <v>150</v>
      </c>
      <c r="C22" s="133">
        <v>46023</v>
      </c>
      <c r="D22" s="134" t="s">
        <v>88</v>
      </c>
      <c r="E22" s="134" t="s">
        <v>52</v>
      </c>
      <c r="F22" s="134" t="s">
        <v>151</v>
      </c>
      <c r="G22" s="130" t="s">
        <v>54</v>
      </c>
      <c r="H22" s="130" t="s">
        <v>54</v>
      </c>
      <c r="I22" s="130" t="s">
        <v>54</v>
      </c>
      <c r="J22" s="130" t="s">
        <v>75</v>
      </c>
      <c r="K22" s="130" t="s">
        <v>55</v>
      </c>
      <c r="L22" s="130">
        <v>7</v>
      </c>
      <c r="M22" s="138">
        <v>300</v>
      </c>
      <c r="N22" s="138">
        <v>600</v>
      </c>
      <c r="O22" s="138">
        <v>850</v>
      </c>
      <c r="P22" s="125">
        <v>200</v>
      </c>
      <c r="Q22" s="125">
        <v>400</v>
      </c>
      <c r="R22" s="125">
        <v>600</v>
      </c>
      <c r="S22" s="125">
        <v>175</v>
      </c>
      <c r="T22" s="127">
        <v>0.9</v>
      </c>
      <c r="U22" s="127">
        <v>7.0000000000000007E-2</v>
      </c>
      <c r="V22" s="125">
        <v>117</v>
      </c>
      <c r="W22" s="125">
        <v>175</v>
      </c>
      <c r="X22" s="127">
        <v>0.5</v>
      </c>
      <c r="Y22" s="135" t="s">
        <v>152</v>
      </c>
      <c r="Z22" s="137">
        <v>1044</v>
      </c>
      <c r="AA22" s="137">
        <v>1044</v>
      </c>
      <c r="AB22" s="136" t="s">
        <v>104</v>
      </c>
      <c r="AC22" s="34" t="s">
        <v>153</v>
      </c>
      <c r="AD22" s="34" t="s">
        <v>154</v>
      </c>
      <c r="AE22" s="34" t="s">
        <v>155</v>
      </c>
      <c r="AF22" s="34" t="s">
        <v>156</v>
      </c>
      <c r="AG22" s="126">
        <v>8.3000000000000004E-2</v>
      </c>
      <c r="AH22" s="122">
        <v>8.3000000000000004E-2</v>
      </c>
      <c r="AI22" s="123">
        <v>8.3000000000000004E-2</v>
      </c>
      <c r="AJ22" s="126">
        <v>0.125</v>
      </c>
      <c r="AK22" s="123">
        <v>0.125</v>
      </c>
      <c r="AL22" s="126">
        <v>8.3000000000000004E-2</v>
      </c>
      <c r="AM22" s="122">
        <v>8.3000000000000004E-2</v>
      </c>
      <c r="AN22" s="123">
        <v>8.3000000000000004E-2</v>
      </c>
      <c r="AO22" s="126">
        <v>0.05</v>
      </c>
      <c r="AP22" s="122">
        <v>0.05</v>
      </c>
      <c r="AQ22" s="122">
        <v>0.05</v>
      </c>
      <c r="AR22" s="123">
        <v>0.05</v>
      </c>
      <c r="AS22" s="124">
        <v>0.05</v>
      </c>
      <c r="AT22" s="124">
        <v>1</v>
      </c>
    </row>
    <row r="23" spans="2:46" ht="19.5" customHeight="1">
      <c r="B23" s="128"/>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c r="AA23" s="128"/>
      <c r="AB23" s="128"/>
      <c r="AC23" s="39" t="s">
        <v>157</v>
      </c>
      <c r="AD23" s="39" t="s">
        <v>158</v>
      </c>
      <c r="AE23" s="39" t="s">
        <v>148</v>
      </c>
      <c r="AF23" s="39" t="s">
        <v>159</v>
      </c>
      <c r="AG23" s="126"/>
      <c r="AH23" s="122"/>
      <c r="AI23" s="123"/>
      <c r="AJ23" s="126"/>
      <c r="AK23" s="123"/>
      <c r="AL23" s="126"/>
      <c r="AM23" s="122"/>
      <c r="AN23" s="123"/>
      <c r="AO23" s="126"/>
      <c r="AP23" s="122"/>
      <c r="AQ23" s="122"/>
      <c r="AR23" s="123"/>
      <c r="AS23" s="124"/>
      <c r="AT23" s="124"/>
    </row>
    <row r="24" spans="2:46" ht="19.5" customHeight="1">
      <c r="B24" s="128" t="s">
        <v>160</v>
      </c>
      <c r="C24" s="133">
        <v>45931</v>
      </c>
      <c r="D24" s="134" t="s">
        <v>88</v>
      </c>
      <c r="E24" s="134" t="s">
        <v>52</v>
      </c>
      <c r="F24" s="134" t="s">
        <v>161</v>
      </c>
      <c r="G24" s="130" t="s">
        <v>54</v>
      </c>
      <c r="H24" s="134"/>
      <c r="I24" s="130" t="s">
        <v>54</v>
      </c>
      <c r="J24" s="130" t="s">
        <v>75</v>
      </c>
      <c r="K24" s="130" t="s">
        <v>55</v>
      </c>
      <c r="L24" s="130">
        <v>10</v>
      </c>
      <c r="M24" s="131">
        <v>500</v>
      </c>
      <c r="N24" s="132">
        <v>1300</v>
      </c>
      <c r="O24" s="132">
        <v>2500</v>
      </c>
      <c r="P24" s="125">
        <v>275</v>
      </c>
      <c r="Q24" s="125">
        <v>700</v>
      </c>
      <c r="R24" s="137">
        <v>1500</v>
      </c>
      <c r="S24" s="125">
        <v>417</v>
      </c>
      <c r="T24" s="127">
        <v>0.9</v>
      </c>
      <c r="U24" s="127">
        <v>7.0000000000000007E-2</v>
      </c>
      <c r="V24" s="125">
        <v>229</v>
      </c>
      <c r="W24" s="125">
        <v>417</v>
      </c>
      <c r="X24" s="127">
        <v>0.5</v>
      </c>
      <c r="Y24" s="135" t="s">
        <v>162</v>
      </c>
      <c r="Z24" s="125">
        <v>100</v>
      </c>
      <c r="AA24" s="125">
        <v>100</v>
      </c>
      <c r="AB24" s="136" t="s">
        <v>163</v>
      </c>
      <c r="AC24" s="34" t="s">
        <v>164</v>
      </c>
      <c r="AD24" s="34" t="s">
        <v>165</v>
      </c>
      <c r="AE24" s="34" t="s">
        <v>166</v>
      </c>
      <c r="AF24" s="34" t="s">
        <v>167</v>
      </c>
      <c r="AG24" s="126">
        <v>8.3000000000000004E-2</v>
      </c>
      <c r="AH24" s="122">
        <v>8.3000000000000004E-2</v>
      </c>
      <c r="AI24" s="123">
        <v>8.3000000000000004E-2</v>
      </c>
      <c r="AJ24" s="126">
        <v>0.125</v>
      </c>
      <c r="AK24" s="123">
        <v>0.125</v>
      </c>
      <c r="AL24" s="126">
        <v>8.3000000000000004E-2</v>
      </c>
      <c r="AM24" s="122">
        <v>8.3000000000000004E-2</v>
      </c>
      <c r="AN24" s="123">
        <v>8.3000000000000004E-2</v>
      </c>
      <c r="AO24" s="126">
        <v>0.05</v>
      </c>
      <c r="AP24" s="122">
        <v>0.05</v>
      </c>
      <c r="AQ24" s="122">
        <v>0.05</v>
      </c>
      <c r="AR24" s="123">
        <v>0.05</v>
      </c>
      <c r="AS24" s="124">
        <v>0.05</v>
      </c>
      <c r="AT24" s="124">
        <v>1</v>
      </c>
    </row>
    <row r="25" spans="2:46" ht="19.5" customHeight="1">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c r="AA25" s="128"/>
      <c r="AB25" s="128"/>
      <c r="AC25" s="39" t="s">
        <v>168</v>
      </c>
      <c r="AD25" s="39" t="s">
        <v>169</v>
      </c>
      <c r="AE25" s="39" t="s">
        <v>170</v>
      </c>
      <c r="AF25" s="39" t="s">
        <v>171</v>
      </c>
      <c r="AG25" s="126"/>
      <c r="AH25" s="122"/>
      <c r="AI25" s="123"/>
      <c r="AJ25" s="126"/>
      <c r="AK25" s="123"/>
      <c r="AL25" s="126"/>
      <c r="AM25" s="122"/>
      <c r="AN25" s="123"/>
      <c r="AO25" s="126"/>
      <c r="AP25" s="122"/>
      <c r="AQ25" s="122"/>
      <c r="AR25" s="123"/>
      <c r="AS25" s="124"/>
      <c r="AT25" s="124"/>
    </row>
    <row r="26" spans="2:46" ht="19.5" customHeight="1">
      <c r="B26" s="128" t="s">
        <v>172</v>
      </c>
      <c r="C26" s="133">
        <v>45778</v>
      </c>
      <c r="D26" s="134" t="s">
        <v>51</v>
      </c>
      <c r="E26" s="134" t="s">
        <v>173</v>
      </c>
      <c r="F26" s="134" t="s">
        <v>174</v>
      </c>
      <c r="G26" s="130" t="s">
        <v>54</v>
      </c>
      <c r="H26" s="130" t="s">
        <v>54</v>
      </c>
      <c r="I26" s="130" t="s">
        <v>54</v>
      </c>
      <c r="J26" s="130" t="s">
        <v>55</v>
      </c>
      <c r="K26" s="130" t="s">
        <v>55</v>
      </c>
      <c r="L26" s="130">
        <v>12</v>
      </c>
      <c r="M26" s="131">
        <v>200</v>
      </c>
      <c r="N26" s="131">
        <v>400</v>
      </c>
      <c r="O26" s="131">
        <v>500</v>
      </c>
      <c r="P26" s="125">
        <v>200</v>
      </c>
      <c r="Q26" s="125">
        <v>400</v>
      </c>
      <c r="R26" s="125">
        <v>600</v>
      </c>
      <c r="S26" s="125">
        <v>250</v>
      </c>
      <c r="T26" s="127">
        <v>0.9</v>
      </c>
      <c r="U26" s="127">
        <v>7.0000000000000007E-2</v>
      </c>
      <c r="V26" s="125">
        <v>250</v>
      </c>
      <c r="W26" s="125">
        <v>250</v>
      </c>
      <c r="X26" s="127">
        <v>0.4</v>
      </c>
      <c r="Y26" s="129" t="s">
        <v>175</v>
      </c>
      <c r="Z26" s="125">
        <v>100</v>
      </c>
      <c r="AA26" s="125">
        <v>100</v>
      </c>
      <c r="AB26" s="34" t="s">
        <v>176</v>
      </c>
      <c r="AC26" s="34" t="s">
        <v>177</v>
      </c>
      <c r="AD26" s="34" t="s">
        <v>178</v>
      </c>
      <c r="AE26" s="34" t="s">
        <v>179</v>
      </c>
      <c r="AF26" s="34" t="s">
        <v>180</v>
      </c>
      <c r="AG26" s="126">
        <v>0.1</v>
      </c>
      <c r="AH26" s="122">
        <v>0.1</v>
      </c>
      <c r="AI26" s="123">
        <v>0.1</v>
      </c>
      <c r="AJ26" s="126">
        <v>0.1</v>
      </c>
      <c r="AK26" s="123">
        <v>0.1</v>
      </c>
      <c r="AL26" s="126">
        <v>8.3000000000000004E-2</v>
      </c>
      <c r="AM26" s="122">
        <v>8.3000000000000004E-2</v>
      </c>
      <c r="AN26" s="123">
        <v>8.3000000000000004E-2</v>
      </c>
      <c r="AO26" s="126">
        <v>0.05</v>
      </c>
      <c r="AP26" s="122">
        <v>0.05</v>
      </c>
      <c r="AQ26" s="122">
        <v>0.05</v>
      </c>
      <c r="AR26" s="123">
        <v>0.05</v>
      </c>
      <c r="AS26" s="124">
        <v>0.05</v>
      </c>
      <c r="AT26" s="124">
        <v>1</v>
      </c>
    </row>
    <row r="27" spans="2:46" ht="19.5" customHeight="1">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c r="AA27" s="128"/>
      <c r="AB27" s="39" t="s">
        <v>181</v>
      </c>
      <c r="AC27" s="39" t="s">
        <v>182</v>
      </c>
      <c r="AD27" s="39" t="s">
        <v>183</v>
      </c>
      <c r="AE27" s="39" t="s">
        <v>184</v>
      </c>
      <c r="AF27" s="39" t="s">
        <v>185</v>
      </c>
      <c r="AG27" s="126"/>
      <c r="AH27" s="122"/>
      <c r="AI27" s="123"/>
      <c r="AJ27" s="126"/>
      <c r="AK27" s="123"/>
      <c r="AL27" s="126"/>
      <c r="AM27" s="122"/>
      <c r="AN27" s="123"/>
      <c r="AO27" s="126"/>
      <c r="AP27" s="122"/>
      <c r="AQ27" s="122"/>
      <c r="AR27" s="123"/>
      <c r="AS27" s="124"/>
      <c r="AT27" s="124"/>
    </row>
    <row r="28" spans="2:46" ht="19.5" customHeight="1">
      <c r="B28" s="7" t="s">
        <v>186</v>
      </c>
      <c r="C28" s="6">
        <v>46023</v>
      </c>
      <c r="D28" s="5" t="s">
        <v>88</v>
      </c>
      <c r="E28" s="5" t="s">
        <v>173</v>
      </c>
      <c r="F28" s="5" t="s">
        <v>174</v>
      </c>
      <c r="G28" s="5"/>
      <c r="H28" s="5"/>
      <c r="I28" s="4" t="s">
        <v>54</v>
      </c>
      <c r="J28" s="4" t="s">
        <v>75</v>
      </c>
      <c r="K28" s="4" t="s">
        <v>55</v>
      </c>
      <c r="L28" s="4">
        <v>7</v>
      </c>
      <c r="M28" s="2" t="s">
        <v>69</v>
      </c>
      <c r="N28" s="2" t="s">
        <v>69</v>
      </c>
      <c r="O28" s="2" t="s">
        <v>69</v>
      </c>
      <c r="P28" s="3">
        <v>200</v>
      </c>
      <c r="Q28" s="3">
        <v>400</v>
      </c>
      <c r="R28" s="3">
        <v>600</v>
      </c>
      <c r="S28" s="2" t="s">
        <v>69</v>
      </c>
      <c r="T28" s="2" t="s">
        <v>69</v>
      </c>
      <c r="U28" s="2" t="s">
        <v>69</v>
      </c>
      <c r="V28" s="2">
        <v>117</v>
      </c>
      <c r="W28" s="2">
        <v>117</v>
      </c>
      <c r="X28" s="1">
        <v>0.5</v>
      </c>
      <c r="Y28" s="33" t="s">
        <v>69</v>
      </c>
      <c r="Z28" s="2" t="s">
        <v>69</v>
      </c>
      <c r="AA28" s="2" t="s">
        <v>69</v>
      </c>
      <c r="AB28" s="42" t="s">
        <v>100</v>
      </c>
      <c r="AC28" s="42" t="s">
        <v>100</v>
      </c>
      <c r="AD28" s="42" t="s">
        <v>100</v>
      </c>
      <c r="AE28" s="42" t="s">
        <v>100</v>
      </c>
      <c r="AF28" s="42" t="s">
        <v>100</v>
      </c>
      <c r="AG28" s="44" t="s">
        <v>69</v>
      </c>
      <c r="AH28" s="45" t="s">
        <v>69</v>
      </c>
      <c r="AI28" s="46" t="s">
        <v>69</v>
      </c>
      <c r="AJ28" s="44" t="s">
        <v>69</v>
      </c>
      <c r="AK28" s="46" t="s">
        <v>69</v>
      </c>
      <c r="AL28" s="35">
        <v>0.25</v>
      </c>
      <c r="AM28" s="36">
        <v>0.25</v>
      </c>
      <c r="AN28" s="37">
        <v>0.25</v>
      </c>
      <c r="AO28" s="35">
        <v>0.05</v>
      </c>
      <c r="AP28" s="36">
        <v>0.05</v>
      </c>
      <c r="AQ28" s="36">
        <v>0.05</v>
      </c>
      <c r="AR28" s="37">
        <v>0.05</v>
      </c>
      <c r="AS28" s="37">
        <v>0.05</v>
      </c>
      <c r="AT28" s="38">
        <v>1</v>
      </c>
    </row>
    <row r="29" spans="2:46" ht="19.5" customHeight="1">
      <c r="B29" s="128" t="s">
        <v>187</v>
      </c>
      <c r="C29" s="133">
        <v>45931</v>
      </c>
      <c r="D29" s="134" t="s">
        <v>51</v>
      </c>
      <c r="E29" s="134" t="s">
        <v>173</v>
      </c>
      <c r="F29" s="134" t="s">
        <v>188</v>
      </c>
      <c r="G29" s="130" t="s">
        <v>54</v>
      </c>
      <c r="H29" s="134"/>
      <c r="I29" s="130" t="s">
        <v>54</v>
      </c>
      <c r="J29" s="130" t="s">
        <v>75</v>
      </c>
      <c r="K29" s="130" t="s">
        <v>55</v>
      </c>
      <c r="L29" s="130">
        <v>10</v>
      </c>
      <c r="M29" s="131">
        <v>200</v>
      </c>
      <c r="N29" s="131">
        <v>600</v>
      </c>
      <c r="O29" s="132">
        <v>1100</v>
      </c>
      <c r="P29" s="125">
        <v>200</v>
      </c>
      <c r="Q29" s="125">
        <v>400</v>
      </c>
      <c r="R29" s="125">
        <v>600</v>
      </c>
      <c r="S29" s="125">
        <v>167</v>
      </c>
      <c r="T29" s="127">
        <v>0.9</v>
      </c>
      <c r="U29" s="127">
        <v>7.0000000000000007E-2</v>
      </c>
      <c r="V29" s="125">
        <v>167</v>
      </c>
      <c r="W29" s="125">
        <v>167</v>
      </c>
      <c r="X29" s="127">
        <v>0.4</v>
      </c>
      <c r="Y29" s="129" t="s">
        <v>69</v>
      </c>
      <c r="Z29" s="125" t="s">
        <v>69</v>
      </c>
      <c r="AA29" s="125" t="s">
        <v>69</v>
      </c>
      <c r="AB29" s="34" t="s">
        <v>189</v>
      </c>
      <c r="AC29" s="34" t="s">
        <v>190</v>
      </c>
      <c r="AD29" s="34" t="s">
        <v>191</v>
      </c>
      <c r="AE29" s="34" t="s">
        <v>192</v>
      </c>
      <c r="AF29" s="34" t="s">
        <v>193</v>
      </c>
      <c r="AG29" s="126">
        <v>0.125</v>
      </c>
      <c r="AH29" s="122">
        <v>0.125</v>
      </c>
      <c r="AI29" s="123">
        <v>0.125</v>
      </c>
      <c r="AJ29" s="125" t="s">
        <v>69</v>
      </c>
      <c r="AK29" s="125" t="s">
        <v>69</v>
      </c>
      <c r="AL29" s="126">
        <v>0.125</v>
      </c>
      <c r="AM29" s="122">
        <v>0.125</v>
      </c>
      <c r="AN29" s="123">
        <v>0.125</v>
      </c>
      <c r="AO29" s="126">
        <v>0.05</v>
      </c>
      <c r="AP29" s="122">
        <v>0.05</v>
      </c>
      <c r="AQ29" s="122">
        <v>0.05</v>
      </c>
      <c r="AR29" s="123">
        <v>0.05</v>
      </c>
      <c r="AS29" s="124">
        <v>0.05</v>
      </c>
      <c r="AT29" s="124">
        <v>1</v>
      </c>
    </row>
    <row r="30" spans="2:46" ht="19.5" customHeight="1">
      <c r="B30" s="128"/>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c r="AA30" s="128"/>
      <c r="AB30" s="39" t="s">
        <v>194</v>
      </c>
      <c r="AC30" s="39" t="s">
        <v>195</v>
      </c>
      <c r="AD30" s="39" t="s">
        <v>196</v>
      </c>
      <c r="AE30" s="39" t="s">
        <v>197</v>
      </c>
      <c r="AF30" s="39" t="s">
        <v>198</v>
      </c>
      <c r="AG30" s="126"/>
      <c r="AH30" s="122"/>
      <c r="AI30" s="123"/>
      <c r="AJ30" s="125"/>
      <c r="AK30" s="125"/>
      <c r="AL30" s="126"/>
      <c r="AM30" s="122"/>
      <c r="AN30" s="123"/>
      <c r="AO30" s="126"/>
      <c r="AP30" s="122"/>
      <c r="AQ30" s="122"/>
      <c r="AR30" s="123"/>
      <c r="AS30" s="124"/>
      <c r="AT30" s="124"/>
    </row>
    <row r="31" spans="2:46" ht="19.5" customHeight="1">
      <c r="B31" s="7" t="s">
        <v>199</v>
      </c>
      <c r="C31" s="6">
        <v>46069</v>
      </c>
      <c r="D31" s="5" t="s">
        <v>88</v>
      </c>
      <c r="E31" s="5" t="s">
        <v>52</v>
      </c>
      <c r="F31" s="5" t="s">
        <v>161</v>
      </c>
      <c r="G31" s="4"/>
      <c r="H31" s="5"/>
      <c r="I31" s="4"/>
      <c r="J31" s="4" t="s">
        <v>75</v>
      </c>
      <c r="K31" s="4"/>
      <c r="L31" s="4"/>
      <c r="M31" s="2"/>
      <c r="N31" s="2"/>
      <c r="O31" s="2"/>
      <c r="P31" s="2"/>
      <c r="Q31" s="2"/>
      <c r="R31" s="2"/>
      <c r="S31" s="2"/>
      <c r="T31" s="2"/>
      <c r="U31" s="2"/>
      <c r="V31" s="2"/>
      <c r="W31" s="2"/>
      <c r="X31" s="2"/>
      <c r="Y31" s="33" t="s">
        <v>69</v>
      </c>
      <c r="Z31" s="2" t="s">
        <v>69</v>
      </c>
      <c r="AA31" s="2" t="s">
        <v>69</v>
      </c>
      <c r="AB31" s="42" t="s">
        <v>69</v>
      </c>
      <c r="AC31" s="42" t="s">
        <v>69</v>
      </c>
      <c r="AD31" s="42" t="s">
        <v>69</v>
      </c>
      <c r="AE31" s="42" t="s">
        <v>69</v>
      </c>
      <c r="AF31" s="42" t="s">
        <v>69</v>
      </c>
      <c r="AG31" s="44"/>
      <c r="AH31" s="45"/>
      <c r="AI31" s="46"/>
      <c r="AJ31" s="44"/>
      <c r="AK31" s="46"/>
      <c r="AL31" s="44"/>
      <c r="AM31" s="45"/>
      <c r="AN31" s="46"/>
      <c r="AO31" s="44"/>
      <c r="AP31" s="45"/>
      <c r="AQ31" s="44"/>
      <c r="AR31" s="44"/>
      <c r="AS31" s="44"/>
      <c r="AT31" s="2"/>
    </row>
    <row r="32" spans="2:46" ht="19.5" customHeight="1">
      <c r="B32" s="7" t="s">
        <v>200</v>
      </c>
      <c r="C32" s="6">
        <v>46082</v>
      </c>
      <c r="D32" s="5" t="s">
        <v>88</v>
      </c>
      <c r="E32" s="5" t="s">
        <v>173</v>
      </c>
      <c r="F32" s="5" t="s">
        <v>201</v>
      </c>
      <c r="G32" s="4"/>
      <c r="H32" s="5"/>
      <c r="I32" s="4"/>
      <c r="J32" s="4" t="s">
        <v>75</v>
      </c>
      <c r="K32" s="4"/>
      <c r="L32" s="4"/>
      <c r="M32" s="2"/>
      <c r="N32" s="2"/>
      <c r="O32" s="2"/>
      <c r="P32" s="2"/>
      <c r="Q32" s="2"/>
      <c r="R32" s="2"/>
      <c r="S32" s="2"/>
      <c r="T32" s="2"/>
      <c r="U32" s="2"/>
      <c r="V32" s="2"/>
      <c r="W32" s="2"/>
      <c r="X32" s="2"/>
      <c r="Y32" s="33" t="s">
        <v>69</v>
      </c>
      <c r="Z32" s="2" t="s">
        <v>69</v>
      </c>
      <c r="AA32" s="2" t="s">
        <v>69</v>
      </c>
      <c r="AB32" s="42" t="s">
        <v>69</v>
      </c>
      <c r="AC32" s="42" t="s">
        <v>69</v>
      </c>
      <c r="AD32" s="42" t="s">
        <v>69</v>
      </c>
      <c r="AE32" s="42" t="s">
        <v>69</v>
      </c>
      <c r="AF32" s="42" t="s">
        <v>69</v>
      </c>
      <c r="AG32" s="44"/>
      <c r="AH32" s="45"/>
      <c r="AI32" s="46"/>
      <c r="AJ32" s="44"/>
      <c r="AK32" s="46"/>
      <c r="AL32" s="44"/>
      <c r="AM32" s="45"/>
      <c r="AN32" s="46"/>
      <c r="AO32" s="44"/>
      <c r="AP32" s="45"/>
      <c r="AQ32" s="44"/>
      <c r="AR32" s="44"/>
      <c r="AS32" s="44"/>
      <c r="AT32" s="2"/>
    </row>
    <row r="33" spans="2:46" ht="19.5" customHeight="1">
      <c r="B33" s="7" t="s">
        <v>202</v>
      </c>
      <c r="C33" s="6">
        <v>46113</v>
      </c>
      <c r="D33" s="5" t="s">
        <v>88</v>
      </c>
      <c r="E33" s="5" t="s">
        <v>52</v>
      </c>
      <c r="F33" s="5" t="s">
        <v>161</v>
      </c>
      <c r="G33" s="4"/>
      <c r="H33" s="5"/>
      <c r="I33" s="4"/>
      <c r="J33" s="4" t="s">
        <v>75</v>
      </c>
      <c r="K33" s="4"/>
      <c r="L33" s="4"/>
      <c r="M33" s="2"/>
      <c r="N33" s="2"/>
      <c r="O33" s="2"/>
      <c r="P33" s="2"/>
      <c r="Q33" s="2"/>
      <c r="R33" s="2"/>
      <c r="S33" s="2"/>
      <c r="T33" s="2"/>
      <c r="U33" s="2"/>
      <c r="V33" s="2"/>
      <c r="W33" s="2"/>
      <c r="X33" s="2"/>
      <c r="Y33" s="33" t="s">
        <v>69</v>
      </c>
      <c r="Z33" s="2" t="s">
        <v>69</v>
      </c>
      <c r="AA33" s="2" t="s">
        <v>69</v>
      </c>
      <c r="AB33" s="42" t="s">
        <v>69</v>
      </c>
      <c r="AC33" s="42" t="s">
        <v>69</v>
      </c>
      <c r="AD33" s="42" t="s">
        <v>69</v>
      </c>
      <c r="AE33" s="42" t="s">
        <v>69</v>
      </c>
      <c r="AF33" s="42" t="s">
        <v>69</v>
      </c>
      <c r="AG33" s="44"/>
      <c r="AH33" s="45"/>
      <c r="AI33" s="46"/>
      <c r="AJ33" s="44"/>
      <c r="AK33" s="46"/>
      <c r="AL33" s="44"/>
      <c r="AM33" s="45"/>
      <c r="AN33" s="46"/>
      <c r="AO33" s="44"/>
      <c r="AP33" s="45"/>
      <c r="AQ33" s="44"/>
      <c r="AR33" s="44"/>
      <c r="AS33" s="44"/>
      <c r="AT33" s="2"/>
    </row>
    <row r="34" spans="2:46" ht="19.5" customHeight="1">
      <c r="B34" s="7" t="s">
        <v>203</v>
      </c>
      <c r="C34" s="6">
        <v>46113</v>
      </c>
      <c r="D34" s="5" t="s">
        <v>88</v>
      </c>
      <c r="E34" s="5" t="s">
        <v>52</v>
      </c>
      <c r="F34" s="5" t="s">
        <v>151</v>
      </c>
      <c r="G34" s="4"/>
      <c r="H34" s="5"/>
      <c r="I34" s="4"/>
      <c r="J34" s="4" t="s">
        <v>75</v>
      </c>
      <c r="K34" s="4"/>
      <c r="L34" s="4"/>
      <c r="M34" s="2"/>
      <c r="N34" s="2"/>
      <c r="O34" s="2"/>
      <c r="P34" s="2"/>
      <c r="Q34" s="2"/>
      <c r="R34" s="2"/>
      <c r="S34" s="2"/>
      <c r="T34" s="2"/>
      <c r="U34" s="2"/>
      <c r="V34" s="2"/>
      <c r="W34" s="2"/>
      <c r="X34" s="2"/>
      <c r="Y34" s="33" t="s">
        <v>69</v>
      </c>
      <c r="Z34" s="2" t="s">
        <v>69</v>
      </c>
      <c r="AA34" s="2" t="s">
        <v>69</v>
      </c>
      <c r="AB34" s="42" t="s">
        <v>69</v>
      </c>
      <c r="AC34" s="42" t="s">
        <v>69</v>
      </c>
      <c r="AD34" s="42" t="s">
        <v>69</v>
      </c>
      <c r="AE34" s="42" t="s">
        <v>69</v>
      </c>
      <c r="AF34" s="42" t="s">
        <v>69</v>
      </c>
      <c r="AG34" s="44"/>
      <c r="AH34" s="45"/>
      <c r="AI34" s="46"/>
      <c r="AJ34" s="44"/>
      <c r="AK34" s="46"/>
      <c r="AL34" s="44"/>
      <c r="AM34" s="45"/>
      <c r="AN34" s="46"/>
      <c r="AO34" s="44"/>
      <c r="AP34" s="45"/>
      <c r="AQ34" s="44"/>
      <c r="AR34" s="44"/>
      <c r="AS34" s="44"/>
      <c r="AT34" s="2"/>
    </row>
    <row r="35" spans="2:46" ht="19.5" customHeight="1">
      <c r="B35" s="7" t="s">
        <v>204</v>
      </c>
      <c r="C35" s="6">
        <v>46143</v>
      </c>
      <c r="D35" s="5" t="s">
        <v>51</v>
      </c>
      <c r="E35" s="5" t="s">
        <v>52</v>
      </c>
      <c r="F35" s="5" t="s">
        <v>161</v>
      </c>
      <c r="G35" s="4"/>
      <c r="H35" s="5"/>
      <c r="I35" s="4"/>
      <c r="J35" s="4" t="s">
        <v>75</v>
      </c>
      <c r="K35" s="4"/>
      <c r="L35" s="4"/>
      <c r="M35" s="2"/>
      <c r="N35" s="2"/>
      <c r="O35" s="2"/>
      <c r="P35" s="2"/>
      <c r="Q35" s="2"/>
      <c r="R35" s="2"/>
      <c r="S35" s="2"/>
      <c r="T35" s="2"/>
      <c r="U35" s="2"/>
      <c r="V35" s="2"/>
      <c r="W35" s="2"/>
      <c r="X35" s="2"/>
      <c r="Y35" s="33" t="s">
        <v>69</v>
      </c>
      <c r="Z35" s="2" t="s">
        <v>69</v>
      </c>
      <c r="AA35" s="2" t="s">
        <v>69</v>
      </c>
      <c r="AB35" s="42" t="s">
        <v>69</v>
      </c>
      <c r="AC35" s="42" t="s">
        <v>69</v>
      </c>
      <c r="AD35" s="42" t="s">
        <v>69</v>
      </c>
      <c r="AE35" s="42" t="s">
        <v>69</v>
      </c>
      <c r="AF35" s="42" t="s">
        <v>69</v>
      </c>
      <c r="AG35" s="44"/>
      <c r="AH35" s="45"/>
      <c r="AI35" s="46"/>
      <c r="AJ35" s="44"/>
      <c r="AK35" s="46"/>
      <c r="AL35" s="44"/>
      <c r="AM35" s="45"/>
      <c r="AN35" s="46"/>
      <c r="AO35" s="44"/>
      <c r="AP35" s="45"/>
      <c r="AQ35" s="44"/>
      <c r="AR35" s="44"/>
      <c r="AS35" s="44"/>
      <c r="AT35" s="2"/>
    </row>
  </sheetData>
  <mergeCells count="496">
    <mergeCell ref="G2:I3"/>
    <mergeCell ref="Y2:AA3"/>
    <mergeCell ref="AB2:AF3"/>
    <mergeCell ref="AG2:AS2"/>
    <mergeCell ref="AG3:AH3"/>
    <mergeCell ref="AI3:AK3"/>
    <mergeCell ref="AL3:AN3"/>
    <mergeCell ref="AO3:AS3"/>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U5:U6"/>
    <mergeCell ref="V5:V6"/>
    <mergeCell ref="W5:W6"/>
    <mergeCell ref="X5:X6"/>
    <mergeCell ref="Y5:Y6"/>
    <mergeCell ref="Z5:Z6"/>
    <mergeCell ref="AA5:AA6"/>
    <mergeCell ref="AG5:AG6"/>
    <mergeCell ref="AH5:AH6"/>
    <mergeCell ref="AI5:AI6"/>
    <mergeCell ref="AJ5:AJ6"/>
    <mergeCell ref="AK5:AK6"/>
    <mergeCell ref="AL5:AL6"/>
    <mergeCell ref="AM5:AM6"/>
    <mergeCell ref="AN5:AN6"/>
    <mergeCell ref="AO5:AO6"/>
    <mergeCell ref="AP5:AP6"/>
    <mergeCell ref="AQ5:AQ6"/>
    <mergeCell ref="AR5:AR6"/>
    <mergeCell ref="AS5:AS6"/>
    <mergeCell ref="AT5:AT6"/>
    <mergeCell ref="B7:B8"/>
    <mergeCell ref="C7:C8"/>
    <mergeCell ref="D7:D8"/>
    <mergeCell ref="E7:E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W7:W8"/>
    <mergeCell ref="X7:X8"/>
    <mergeCell ref="Z7:Z8"/>
    <mergeCell ref="AA7:AA8"/>
    <mergeCell ref="AB7:AB8"/>
    <mergeCell ref="AC7:AC8"/>
    <mergeCell ref="AD7:AD8"/>
    <mergeCell ref="AE7:AE8"/>
    <mergeCell ref="AF7:AF8"/>
    <mergeCell ref="AG7:AG8"/>
    <mergeCell ref="AH7:AH8"/>
    <mergeCell ref="AI7:AI8"/>
    <mergeCell ref="AJ7:AJ8"/>
    <mergeCell ref="AK7:AK8"/>
    <mergeCell ref="AL7:AL8"/>
    <mergeCell ref="AM7:AM8"/>
    <mergeCell ref="AN7:AN8"/>
    <mergeCell ref="AO7:AO8"/>
    <mergeCell ref="AP7:AP8"/>
    <mergeCell ref="AQ7:AQ8"/>
    <mergeCell ref="AR7:AR8"/>
    <mergeCell ref="AS7:AS8"/>
    <mergeCell ref="AT7:AT8"/>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P9:P10"/>
    <mergeCell ref="Q9:Q10"/>
    <mergeCell ref="R9:R10"/>
    <mergeCell ref="S9:S10"/>
    <mergeCell ref="T9:T10"/>
    <mergeCell ref="U9:U10"/>
    <mergeCell ref="V9:V10"/>
    <mergeCell ref="W9:W10"/>
    <mergeCell ref="X9:X10"/>
    <mergeCell ref="Y9:Y10"/>
    <mergeCell ref="Z9:Z10"/>
    <mergeCell ref="AA9:AA10"/>
    <mergeCell ref="AG9:AG10"/>
    <mergeCell ref="AH9:AH10"/>
    <mergeCell ref="AI9:AI10"/>
    <mergeCell ref="AJ9:AJ10"/>
    <mergeCell ref="AK9:AK10"/>
    <mergeCell ref="AL9:AL10"/>
    <mergeCell ref="AM9:AM10"/>
    <mergeCell ref="AN9:AN10"/>
    <mergeCell ref="AO9:AO10"/>
    <mergeCell ref="AP9:AP10"/>
    <mergeCell ref="AQ9:AQ10"/>
    <mergeCell ref="AR9:AR10"/>
    <mergeCell ref="AS9:AS10"/>
    <mergeCell ref="AT9:AT10"/>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 ref="AB11:AB12"/>
    <mergeCell ref="AG11:AG12"/>
    <mergeCell ref="AH11:AH12"/>
    <mergeCell ref="AI11:AI12"/>
    <mergeCell ref="AJ11:AJ12"/>
    <mergeCell ref="AK11:AK12"/>
    <mergeCell ref="AL11:AL12"/>
    <mergeCell ref="AM11:AM12"/>
    <mergeCell ref="AN11:AN12"/>
    <mergeCell ref="AO11:AO12"/>
    <mergeCell ref="AP11:AP12"/>
    <mergeCell ref="AQ11:AQ12"/>
    <mergeCell ref="AR11:AR12"/>
    <mergeCell ref="AS11:AS12"/>
    <mergeCell ref="AT11:AT12"/>
    <mergeCell ref="B14:B15"/>
    <mergeCell ref="C14:C15"/>
    <mergeCell ref="D14:D15"/>
    <mergeCell ref="E14:E15"/>
    <mergeCell ref="F14:F15"/>
    <mergeCell ref="G14:G15"/>
    <mergeCell ref="H14:H15"/>
    <mergeCell ref="I14:I15"/>
    <mergeCell ref="J14:J15"/>
    <mergeCell ref="K14:K15"/>
    <mergeCell ref="L14:L15"/>
    <mergeCell ref="M14:M15"/>
    <mergeCell ref="N14:N15"/>
    <mergeCell ref="O14:O15"/>
    <mergeCell ref="P14:P15"/>
    <mergeCell ref="Q14:Q15"/>
    <mergeCell ref="R14:R15"/>
    <mergeCell ref="S14:S15"/>
    <mergeCell ref="T14:T15"/>
    <mergeCell ref="U14:U15"/>
    <mergeCell ref="V14:V15"/>
    <mergeCell ref="W14:W15"/>
    <mergeCell ref="X14:X15"/>
    <mergeCell ref="Y14:Y15"/>
    <mergeCell ref="Z14:Z15"/>
    <mergeCell ref="AA14:AA15"/>
    <mergeCell ref="AB14:AB15"/>
    <mergeCell ref="AG14:AG15"/>
    <mergeCell ref="AH14:AH15"/>
    <mergeCell ref="AI14:AI15"/>
    <mergeCell ref="AJ14:AJ15"/>
    <mergeCell ref="AK14:AK15"/>
    <mergeCell ref="AL14:AL15"/>
    <mergeCell ref="AM14:AM15"/>
    <mergeCell ref="AN14:AN15"/>
    <mergeCell ref="AO14:AO15"/>
    <mergeCell ref="AP14:AP15"/>
    <mergeCell ref="AQ14:AQ15"/>
    <mergeCell ref="AR14:AR15"/>
    <mergeCell ref="AS14:AS15"/>
    <mergeCell ref="AT14:AT15"/>
    <mergeCell ref="B16:B17"/>
    <mergeCell ref="C16:C17"/>
    <mergeCell ref="D16:D17"/>
    <mergeCell ref="E16:E17"/>
    <mergeCell ref="G16:G17"/>
    <mergeCell ref="H16:H17"/>
    <mergeCell ref="I16:I17"/>
    <mergeCell ref="J16:J17"/>
    <mergeCell ref="K16:K17"/>
    <mergeCell ref="L16:L17"/>
    <mergeCell ref="M16:M17"/>
    <mergeCell ref="N16:N17"/>
    <mergeCell ref="O16:O17"/>
    <mergeCell ref="P16:P17"/>
    <mergeCell ref="Q16:Q17"/>
    <mergeCell ref="R16:R17"/>
    <mergeCell ref="S16:S17"/>
    <mergeCell ref="T16:T17"/>
    <mergeCell ref="U16:U17"/>
    <mergeCell ref="V16:V17"/>
    <mergeCell ref="W16:W17"/>
    <mergeCell ref="X16:X17"/>
    <mergeCell ref="Y16:Y17"/>
    <mergeCell ref="Z16:Z17"/>
    <mergeCell ref="AA16:AA17"/>
    <mergeCell ref="AG16:AG17"/>
    <mergeCell ref="AH16:AH17"/>
    <mergeCell ref="AI16:AI17"/>
    <mergeCell ref="AJ16:AJ17"/>
    <mergeCell ref="AK16:AK17"/>
    <mergeCell ref="AL16:AL17"/>
    <mergeCell ref="AM16:AM17"/>
    <mergeCell ref="AN16:AN17"/>
    <mergeCell ref="AO16:AO17"/>
    <mergeCell ref="AP16:AP17"/>
    <mergeCell ref="AQ16:AQ17"/>
    <mergeCell ref="AR16:AR17"/>
    <mergeCell ref="AS16:AS17"/>
    <mergeCell ref="AT16:AT17"/>
    <mergeCell ref="B18:B19"/>
    <mergeCell ref="C18:C19"/>
    <mergeCell ref="D18:D19"/>
    <mergeCell ref="E18:E19"/>
    <mergeCell ref="F18:F19"/>
    <mergeCell ref="G18:G19"/>
    <mergeCell ref="H18:H19"/>
    <mergeCell ref="I18:I19"/>
    <mergeCell ref="J18:J19"/>
    <mergeCell ref="K18:K19"/>
    <mergeCell ref="L18:L19"/>
    <mergeCell ref="M18:M19"/>
    <mergeCell ref="N18:N19"/>
    <mergeCell ref="O18:O19"/>
    <mergeCell ref="P18:P19"/>
    <mergeCell ref="Q18:Q19"/>
    <mergeCell ref="R18:R19"/>
    <mergeCell ref="S18:S19"/>
    <mergeCell ref="T18:T19"/>
    <mergeCell ref="U18:U19"/>
    <mergeCell ref="V18:V19"/>
    <mergeCell ref="W18:W19"/>
    <mergeCell ref="X18:X19"/>
    <mergeCell ref="Y18:Y19"/>
    <mergeCell ref="Z18:Z19"/>
    <mergeCell ref="AA18:AA19"/>
    <mergeCell ref="AB18:AB19"/>
    <mergeCell ref="AG18:AG19"/>
    <mergeCell ref="AH18:AH19"/>
    <mergeCell ref="AI18:AI19"/>
    <mergeCell ref="AJ18:AJ19"/>
    <mergeCell ref="AK18:AK19"/>
    <mergeCell ref="AL18:AL19"/>
    <mergeCell ref="AM18:AM19"/>
    <mergeCell ref="AN18:AN19"/>
    <mergeCell ref="AO18:AO19"/>
    <mergeCell ref="AP18:AP19"/>
    <mergeCell ref="AQ18:AQ19"/>
    <mergeCell ref="AR18:AR19"/>
    <mergeCell ref="AS18:AS19"/>
    <mergeCell ref="AT18:AT19"/>
    <mergeCell ref="B20:B21"/>
    <mergeCell ref="C20:C21"/>
    <mergeCell ref="D20:D21"/>
    <mergeCell ref="E20:E21"/>
    <mergeCell ref="F20:F21"/>
    <mergeCell ref="G20:G21"/>
    <mergeCell ref="H20:H21"/>
    <mergeCell ref="I20:I21"/>
    <mergeCell ref="J20:J21"/>
    <mergeCell ref="K20:K21"/>
    <mergeCell ref="L20:L21"/>
    <mergeCell ref="M20:M21"/>
    <mergeCell ref="N20:N21"/>
    <mergeCell ref="O20:O21"/>
    <mergeCell ref="P20:P21"/>
    <mergeCell ref="Q20:Q21"/>
    <mergeCell ref="R20:R21"/>
    <mergeCell ref="S20:S21"/>
    <mergeCell ref="T20:T21"/>
    <mergeCell ref="U20:U21"/>
    <mergeCell ref="V20:V21"/>
    <mergeCell ref="W20:W21"/>
    <mergeCell ref="X20:X21"/>
    <mergeCell ref="Y20:Y21"/>
    <mergeCell ref="Z20:Z21"/>
    <mergeCell ref="AA20:AA21"/>
    <mergeCell ref="AB20:AB21"/>
    <mergeCell ref="AG20:AG21"/>
    <mergeCell ref="AH20:AH21"/>
    <mergeCell ref="AI20:AI21"/>
    <mergeCell ref="AJ20:AJ21"/>
    <mergeCell ref="AK20:AK21"/>
    <mergeCell ref="AL20:AL21"/>
    <mergeCell ref="AM20:AM21"/>
    <mergeCell ref="AN20:AN21"/>
    <mergeCell ref="AO20:AO21"/>
    <mergeCell ref="AP20:AP21"/>
    <mergeCell ref="AQ20:AQ21"/>
    <mergeCell ref="AR20:AR21"/>
    <mergeCell ref="AS20:AS21"/>
    <mergeCell ref="AT20:AT21"/>
    <mergeCell ref="B22:B23"/>
    <mergeCell ref="C22:C23"/>
    <mergeCell ref="D22:D23"/>
    <mergeCell ref="E22:E23"/>
    <mergeCell ref="F22:F23"/>
    <mergeCell ref="G22:G23"/>
    <mergeCell ref="H22:H23"/>
    <mergeCell ref="I22:I23"/>
    <mergeCell ref="J22:J23"/>
    <mergeCell ref="K22:K23"/>
    <mergeCell ref="L22:L23"/>
    <mergeCell ref="M22:M23"/>
    <mergeCell ref="N22:N23"/>
    <mergeCell ref="O22:O23"/>
    <mergeCell ref="P22:P23"/>
    <mergeCell ref="Q22:Q23"/>
    <mergeCell ref="R22:R23"/>
    <mergeCell ref="S22:S23"/>
    <mergeCell ref="T22:T23"/>
    <mergeCell ref="U22:U23"/>
    <mergeCell ref="V22:V23"/>
    <mergeCell ref="W22:W23"/>
    <mergeCell ref="X22:X23"/>
    <mergeCell ref="Y22:Y23"/>
    <mergeCell ref="Z22:Z23"/>
    <mergeCell ref="AA22:AA23"/>
    <mergeCell ref="AB22:AB23"/>
    <mergeCell ref="AG22:AG23"/>
    <mergeCell ref="AH22:AH23"/>
    <mergeCell ref="AI22:AI23"/>
    <mergeCell ref="AJ22:AJ23"/>
    <mergeCell ref="AK22:AK23"/>
    <mergeCell ref="AL22:AL23"/>
    <mergeCell ref="AM22:AM23"/>
    <mergeCell ref="AN22:AN23"/>
    <mergeCell ref="AO22:AO23"/>
    <mergeCell ref="AP22:AP23"/>
    <mergeCell ref="AQ22:AQ23"/>
    <mergeCell ref="AR22:AR23"/>
    <mergeCell ref="AS22:AS23"/>
    <mergeCell ref="AT22:AT23"/>
    <mergeCell ref="B24:B25"/>
    <mergeCell ref="C24:C25"/>
    <mergeCell ref="D24:D25"/>
    <mergeCell ref="E24:E25"/>
    <mergeCell ref="F24:F25"/>
    <mergeCell ref="G24:G25"/>
    <mergeCell ref="H24:H25"/>
    <mergeCell ref="I24:I25"/>
    <mergeCell ref="J24:J25"/>
    <mergeCell ref="K24:K25"/>
    <mergeCell ref="L24:L25"/>
    <mergeCell ref="M24:M25"/>
    <mergeCell ref="N24:N25"/>
    <mergeCell ref="O24:O25"/>
    <mergeCell ref="P24:P25"/>
    <mergeCell ref="Q24:Q25"/>
    <mergeCell ref="R24:R25"/>
    <mergeCell ref="S24:S25"/>
    <mergeCell ref="T24:T25"/>
    <mergeCell ref="U24:U25"/>
    <mergeCell ref="V24:V25"/>
    <mergeCell ref="W24:W25"/>
    <mergeCell ref="X24:X25"/>
    <mergeCell ref="Y24:Y25"/>
    <mergeCell ref="Z24:Z25"/>
    <mergeCell ref="AA24:AA25"/>
    <mergeCell ref="AB24:AB25"/>
    <mergeCell ref="AG24:AG25"/>
    <mergeCell ref="AH24:AH25"/>
    <mergeCell ref="AI24:AI25"/>
    <mergeCell ref="AJ24:AJ25"/>
    <mergeCell ref="AK24:AK25"/>
    <mergeCell ref="AL24:AL25"/>
    <mergeCell ref="AM24:AM25"/>
    <mergeCell ref="AN24:AN25"/>
    <mergeCell ref="AO24:AO25"/>
    <mergeCell ref="AP24:AP25"/>
    <mergeCell ref="AQ24:AQ25"/>
    <mergeCell ref="AR24:AR25"/>
    <mergeCell ref="AS24:AS25"/>
    <mergeCell ref="AT24:AT25"/>
    <mergeCell ref="B26:B27"/>
    <mergeCell ref="C26:C27"/>
    <mergeCell ref="D26:D27"/>
    <mergeCell ref="E26:E27"/>
    <mergeCell ref="F26:F27"/>
    <mergeCell ref="G26:G27"/>
    <mergeCell ref="H26:H27"/>
    <mergeCell ref="I26:I27"/>
    <mergeCell ref="J26:J27"/>
    <mergeCell ref="K26:K27"/>
    <mergeCell ref="L26:L27"/>
    <mergeCell ref="M26:M27"/>
    <mergeCell ref="N26:N27"/>
    <mergeCell ref="O26:O27"/>
    <mergeCell ref="P26:P27"/>
    <mergeCell ref="Q26:Q27"/>
    <mergeCell ref="R26:R27"/>
    <mergeCell ref="S26:S27"/>
    <mergeCell ref="T26:T27"/>
    <mergeCell ref="U26:U27"/>
    <mergeCell ref="V26:V27"/>
    <mergeCell ref="W26:W27"/>
    <mergeCell ref="X26:X27"/>
    <mergeCell ref="Y26:Y27"/>
    <mergeCell ref="Z26:Z27"/>
    <mergeCell ref="AA26:AA27"/>
    <mergeCell ref="AG26:AG27"/>
    <mergeCell ref="AH26:AH27"/>
    <mergeCell ref="AI26:AI27"/>
    <mergeCell ref="AJ26:AJ27"/>
    <mergeCell ref="AK26:AK27"/>
    <mergeCell ref="AL26:AL27"/>
    <mergeCell ref="AM26:AM27"/>
    <mergeCell ref="AN26:AN27"/>
    <mergeCell ref="AO26:AO27"/>
    <mergeCell ref="AP26:AP27"/>
    <mergeCell ref="AQ26:AQ27"/>
    <mergeCell ref="AR26:AR27"/>
    <mergeCell ref="AS26:AS27"/>
    <mergeCell ref="AT26:AT27"/>
    <mergeCell ref="B29:B30"/>
    <mergeCell ref="C29:C30"/>
    <mergeCell ref="D29:D30"/>
    <mergeCell ref="E29:E30"/>
    <mergeCell ref="F29:F30"/>
    <mergeCell ref="G29:G30"/>
    <mergeCell ref="H29:H30"/>
    <mergeCell ref="I29:I30"/>
    <mergeCell ref="J29:J30"/>
    <mergeCell ref="K29:K30"/>
    <mergeCell ref="L29:L30"/>
    <mergeCell ref="M29:M30"/>
    <mergeCell ref="N29:N30"/>
    <mergeCell ref="O29:O30"/>
    <mergeCell ref="P29:P30"/>
    <mergeCell ref="Q29:Q30"/>
    <mergeCell ref="R29:R30"/>
    <mergeCell ref="S29:S30"/>
    <mergeCell ref="T29:T30"/>
    <mergeCell ref="U29:U30"/>
    <mergeCell ref="V29:V30"/>
    <mergeCell ref="W29:W30"/>
    <mergeCell ref="X29:X30"/>
    <mergeCell ref="Y29:Y30"/>
    <mergeCell ref="Z29:Z30"/>
    <mergeCell ref="AA29:AA30"/>
    <mergeCell ref="AG29:AG30"/>
    <mergeCell ref="AQ29:AQ30"/>
    <mergeCell ref="AR29:AR30"/>
    <mergeCell ref="AS29:AS30"/>
    <mergeCell ref="AT29:AT30"/>
    <mergeCell ref="AH29:AH30"/>
    <mergeCell ref="AI29:AI30"/>
    <mergeCell ref="AJ29:AJ30"/>
    <mergeCell ref="AK29:AK30"/>
    <mergeCell ref="AL29:AL30"/>
    <mergeCell ref="AM29:AM30"/>
    <mergeCell ref="AN29:AN30"/>
    <mergeCell ref="AO29:AO30"/>
    <mergeCell ref="AP29:AP30"/>
  </mergeCells>
  <phoneticPr fontId="45"/>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25"/>
  <sheetViews>
    <sheetView zoomScaleNormal="100" workbookViewId="0">
      <selection activeCell="D23" sqref="D23"/>
    </sheetView>
  </sheetViews>
  <sheetFormatPr defaultColWidth="8.58203125" defaultRowHeight="18"/>
  <cols>
    <col min="2" max="2" width="15" style="48" customWidth="1"/>
    <col min="3" max="3" width="7" style="48" customWidth="1"/>
    <col min="4" max="4" width="95" style="48" customWidth="1"/>
  </cols>
  <sheetData>
    <row r="1" spans="2:4">
      <c r="B1" s="49" t="s">
        <v>205</v>
      </c>
    </row>
    <row r="3" spans="2:4">
      <c r="B3" s="50" t="s">
        <v>206</v>
      </c>
      <c r="C3" s="51" t="s">
        <v>207</v>
      </c>
      <c r="D3" s="50" t="s">
        <v>208</v>
      </c>
    </row>
    <row r="4" spans="2:4" ht="15" customHeight="1">
      <c r="B4" s="52" t="s">
        <v>200</v>
      </c>
      <c r="C4" s="53" t="s">
        <v>209</v>
      </c>
      <c r="D4" s="52" t="s">
        <v>210</v>
      </c>
    </row>
    <row r="5" spans="2:4" ht="40.5" customHeight="1">
      <c r="B5" s="52" t="s">
        <v>150</v>
      </c>
      <c r="C5" s="53" t="s">
        <v>209</v>
      </c>
      <c r="D5" s="52" t="s">
        <v>211</v>
      </c>
    </row>
    <row r="6" spans="2:4" ht="40.5" customHeight="1">
      <c r="B6" s="52" t="s">
        <v>203</v>
      </c>
      <c r="C6" s="53" t="s">
        <v>209</v>
      </c>
      <c r="D6" s="52" t="s">
        <v>212</v>
      </c>
    </row>
    <row r="7" spans="2:4" ht="53.25" customHeight="1">
      <c r="B7" s="52" t="s">
        <v>138</v>
      </c>
      <c r="C7" s="53" t="s">
        <v>209</v>
      </c>
      <c r="D7" s="52" t="s">
        <v>213</v>
      </c>
    </row>
    <row r="8" spans="2:4" ht="15" customHeight="1">
      <c r="B8" s="52" t="s">
        <v>126</v>
      </c>
      <c r="C8" s="53" t="s">
        <v>209</v>
      </c>
      <c r="D8" s="54" t="s">
        <v>214</v>
      </c>
    </row>
    <row r="9" spans="2:4" ht="15" customHeight="1">
      <c r="B9" s="52" t="s">
        <v>172</v>
      </c>
      <c r="C9" s="53" t="s">
        <v>209</v>
      </c>
      <c r="D9" s="54" t="s">
        <v>214</v>
      </c>
    </row>
    <row r="10" spans="2:4" ht="27.75" customHeight="1">
      <c r="B10" s="52" t="s">
        <v>186</v>
      </c>
      <c r="C10" s="53" t="s">
        <v>209</v>
      </c>
      <c r="D10" s="52" t="s">
        <v>215</v>
      </c>
    </row>
    <row r="11" spans="2:4" ht="15" customHeight="1">
      <c r="B11" s="52" t="s">
        <v>187</v>
      </c>
      <c r="C11" s="53" t="s">
        <v>209</v>
      </c>
      <c r="D11" s="54" t="s">
        <v>214</v>
      </c>
    </row>
    <row r="12" spans="2:4" ht="15" customHeight="1">
      <c r="B12" s="52" t="s">
        <v>101</v>
      </c>
      <c r="C12" s="53" t="s">
        <v>209</v>
      </c>
      <c r="D12" s="54" t="s">
        <v>214</v>
      </c>
    </row>
    <row r="13" spans="2:4" ht="27.75" customHeight="1">
      <c r="B13" s="52" t="s">
        <v>204</v>
      </c>
      <c r="C13" s="53" t="s">
        <v>216</v>
      </c>
      <c r="D13" s="52" t="s">
        <v>217</v>
      </c>
    </row>
    <row r="14" spans="2:4" ht="27.75" customHeight="1">
      <c r="B14" s="52" t="s">
        <v>160</v>
      </c>
      <c r="C14" s="53" t="s">
        <v>209</v>
      </c>
      <c r="D14" s="52" t="s">
        <v>218</v>
      </c>
    </row>
    <row r="15" spans="2:4" ht="15" customHeight="1">
      <c r="B15" s="52" t="s">
        <v>199</v>
      </c>
      <c r="C15" s="53" t="s">
        <v>216</v>
      </c>
      <c r="D15" s="52" t="s">
        <v>219</v>
      </c>
    </row>
    <row r="16" spans="2:4" ht="15" customHeight="1">
      <c r="B16" s="52" t="s">
        <v>202</v>
      </c>
      <c r="C16" s="53" t="s">
        <v>209</v>
      </c>
      <c r="D16" s="54" t="s">
        <v>214</v>
      </c>
    </row>
    <row r="17" spans="2:4" ht="15" customHeight="1">
      <c r="B17" s="52" t="s">
        <v>74</v>
      </c>
      <c r="C17" s="53" t="s">
        <v>209</v>
      </c>
      <c r="D17" s="54" t="s">
        <v>214</v>
      </c>
    </row>
    <row r="18" spans="2:4" ht="15" customHeight="1">
      <c r="B18" s="52" t="s">
        <v>98</v>
      </c>
      <c r="C18" s="53" t="s">
        <v>209</v>
      </c>
      <c r="D18" s="52" t="s">
        <v>220</v>
      </c>
    </row>
    <row r="19" spans="2:4" ht="27.75" customHeight="1">
      <c r="B19" s="52" t="s">
        <v>87</v>
      </c>
      <c r="C19" s="53" t="s">
        <v>216</v>
      </c>
      <c r="D19" s="52" t="s">
        <v>221</v>
      </c>
    </row>
    <row r="20" spans="2:4" ht="40.5" customHeight="1">
      <c r="B20" s="52" t="s">
        <v>50</v>
      </c>
      <c r="C20" s="53" t="s">
        <v>209</v>
      </c>
      <c r="D20" s="52" t="s">
        <v>222</v>
      </c>
    </row>
    <row r="21" spans="2:4" ht="15" customHeight="1">
      <c r="B21" s="52" t="s">
        <v>113</v>
      </c>
      <c r="C21" s="53" t="s">
        <v>209</v>
      </c>
      <c r="D21" s="54" t="s">
        <v>214</v>
      </c>
    </row>
    <row r="22" spans="2:4" ht="27.75" customHeight="1">
      <c r="B22" s="52" t="s">
        <v>223</v>
      </c>
      <c r="C22" s="53" t="s">
        <v>209</v>
      </c>
      <c r="D22" s="52" t="s">
        <v>224</v>
      </c>
    </row>
    <row r="23" spans="2:4" ht="53.25" customHeight="1">
      <c r="B23" s="52" t="s">
        <v>225</v>
      </c>
      <c r="C23" s="55" t="s">
        <v>214</v>
      </c>
      <c r="D23" s="52" t="s">
        <v>226</v>
      </c>
    </row>
    <row r="24" spans="2:4">
      <c r="B24" s="99" t="s">
        <v>347</v>
      </c>
      <c r="D24" s="99" t="s">
        <v>346</v>
      </c>
    </row>
    <row r="25" spans="2:4">
      <c r="B25" s="99" t="s">
        <v>348</v>
      </c>
      <c r="D25" s="99" t="s">
        <v>349</v>
      </c>
    </row>
  </sheetData>
  <phoneticPr fontId="45"/>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T24"/>
  <sheetViews>
    <sheetView showGridLines="0" zoomScale="80" zoomScaleNormal="80" workbookViewId="0">
      <pane xSplit="6" ySplit="4" topLeftCell="G5" activePane="bottomRight" state="frozen"/>
      <selection pane="topRight" activeCell="R1" sqref="R1"/>
      <selection pane="bottomLeft" activeCell="A5" sqref="A5"/>
      <selection pane="bottomRight" activeCell="F13" sqref="F13"/>
    </sheetView>
  </sheetViews>
  <sheetFormatPr defaultColWidth="8.5" defaultRowHeight="18" outlineLevelCol="1"/>
  <cols>
    <col min="1" max="1" width="3.75" style="56" customWidth="1"/>
    <col min="2" max="2" width="9.83203125" style="56" customWidth="1"/>
    <col min="3" max="3" width="13" style="56" customWidth="1"/>
    <col min="4" max="4" width="8.5" style="56"/>
    <col min="5" max="5" width="13.08203125" style="56" customWidth="1"/>
    <col min="6" max="6" width="17.83203125" style="56" customWidth="1"/>
    <col min="7" max="9" width="13.25" style="56" customWidth="1"/>
    <col min="10" max="18" width="13.25" style="56" customWidth="1" outlineLevel="1"/>
    <col min="19" max="24" width="13.25" style="56" customWidth="1"/>
    <col min="25" max="25" width="34.5" style="56" customWidth="1"/>
    <col min="26" max="46" width="13.25" style="56" customWidth="1"/>
    <col min="47" max="16384" width="8.5" style="56"/>
  </cols>
  <sheetData>
    <row r="2" spans="2:46" s="57" customFormat="1" ht="18.75" customHeight="1">
      <c r="B2" s="118" t="s">
        <v>27</v>
      </c>
      <c r="C2" s="119" t="s">
        <v>28</v>
      </c>
      <c r="D2" s="120" t="s">
        <v>29</v>
      </c>
      <c r="E2" s="120" t="s">
        <v>30</v>
      </c>
      <c r="F2" s="119" t="s">
        <v>227</v>
      </c>
      <c r="G2" s="121" t="s">
        <v>228</v>
      </c>
      <c r="H2" s="121"/>
      <c r="I2" s="121"/>
      <c r="J2" s="114" t="s">
        <v>229</v>
      </c>
      <c r="K2" s="114" t="s">
        <v>230</v>
      </c>
      <c r="L2" s="114"/>
      <c r="M2" s="114" t="s">
        <v>231</v>
      </c>
      <c r="N2" s="114"/>
      <c r="O2" s="114"/>
      <c r="P2" s="114" t="s">
        <v>232</v>
      </c>
      <c r="Q2" s="114"/>
      <c r="R2" s="114"/>
      <c r="S2" s="114" t="s">
        <v>231</v>
      </c>
      <c r="T2" s="114"/>
      <c r="U2" s="114"/>
      <c r="V2" s="114" t="s">
        <v>232</v>
      </c>
      <c r="W2" s="114"/>
      <c r="X2" s="114"/>
      <c r="Y2" s="114" t="s">
        <v>233</v>
      </c>
      <c r="Z2" s="114"/>
      <c r="AA2" s="114"/>
      <c r="AB2" s="115" t="s">
        <v>234</v>
      </c>
      <c r="AC2" s="115"/>
      <c r="AD2" s="115"/>
      <c r="AE2" s="115"/>
      <c r="AF2" s="115"/>
      <c r="AG2" s="114" t="s">
        <v>7</v>
      </c>
      <c r="AH2" s="114"/>
      <c r="AI2" s="114"/>
      <c r="AJ2" s="114"/>
      <c r="AK2" s="114"/>
      <c r="AL2" s="114"/>
      <c r="AM2" s="114"/>
      <c r="AN2" s="114"/>
      <c r="AO2" s="114"/>
      <c r="AP2" s="114"/>
      <c r="AQ2" s="114"/>
      <c r="AR2" s="114"/>
      <c r="AS2" s="114"/>
      <c r="AT2" s="114"/>
    </row>
    <row r="3" spans="2:46" s="57" customFormat="1" ht="31.5" customHeight="1">
      <c r="B3" s="118"/>
      <c r="C3" s="119"/>
      <c r="D3" s="119"/>
      <c r="E3" s="119"/>
      <c r="F3" s="119"/>
      <c r="G3" s="121"/>
      <c r="H3" s="121"/>
      <c r="I3" s="121"/>
      <c r="J3" s="114"/>
      <c r="K3" s="114"/>
      <c r="L3" s="114"/>
      <c r="M3" s="116" t="s">
        <v>350</v>
      </c>
      <c r="N3" s="116"/>
      <c r="O3" s="116"/>
      <c r="P3" s="117" t="s">
        <v>18</v>
      </c>
      <c r="Q3" s="117"/>
      <c r="R3" s="117"/>
      <c r="S3" s="58" t="s">
        <v>17</v>
      </c>
      <c r="T3" s="58" t="s">
        <v>19</v>
      </c>
      <c r="U3" s="58" t="s">
        <v>235</v>
      </c>
      <c r="V3" s="59" t="s">
        <v>18</v>
      </c>
      <c r="W3" s="59" t="s">
        <v>21</v>
      </c>
      <c r="X3" s="58" t="s">
        <v>22</v>
      </c>
      <c r="Y3" s="114"/>
      <c r="Z3" s="114"/>
      <c r="AA3" s="114"/>
      <c r="AB3" s="115"/>
      <c r="AC3" s="115"/>
      <c r="AD3" s="115"/>
      <c r="AE3" s="115"/>
      <c r="AF3" s="115"/>
      <c r="AG3" s="117" t="s">
        <v>231</v>
      </c>
      <c r="AH3" s="117"/>
      <c r="AI3" s="117"/>
      <c r="AJ3" s="117" t="s">
        <v>236</v>
      </c>
      <c r="AK3" s="117"/>
      <c r="AL3" s="117" t="s">
        <v>237</v>
      </c>
      <c r="AM3" s="117"/>
      <c r="AN3" s="117"/>
      <c r="AO3" s="116" t="s">
        <v>25</v>
      </c>
      <c r="AP3" s="116"/>
      <c r="AQ3" s="116"/>
      <c r="AR3" s="116"/>
      <c r="AS3" s="116"/>
      <c r="AT3" s="58" t="s">
        <v>26</v>
      </c>
    </row>
    <row r="4" spans="2:46" s="57" customFormat="1" ht="31.5" customHeight="1">
      <c r="B4" s="118"/>
      <c r="C4" s="119"/>
      <c r="D4" s="119"/>
      <c r="E4" s="119"/>
      <c r="F4" s="119"/>
      <c r="G4" s="60" t="s">
        <v>238</v>
      </c>
      <c r="H4" s="61" t="s">
        <v>233</v>
      </c>
      <c r="I4" s="61" t="s">
        <v>33</v>
      </c>
      <c r="J4" s="62" t="s">
        <v>15</v>
      </c>
      <c r="K4" s="62" t="s">
        <v>15</v>
      </c>
      <c r="L4" s="62" t="s">
        <v>16</v>
      </c>
      <c r="M4" s="62" t="s">
        <v>239</v>
      </c>
      <c r="N4" s="62" t="s">
        <v>240</v>
      </c>
      <c r="O4" s="62" t="s">
        <v>241</v>
      </c>
      <c r="P4" s="62" t="s">
        <v>239</v>
      </c>
      <c r="Q4" s="62" t="s">
        <v>240</v>
      </c>
      <c r="R4" s="62" t="s">
        <v>241</v>
      </c>
      <c r="S4" s="61" t="s">
        <v>242</v>
      </c>
      <c r="T4" s="61" t="s">
        <v>242</v>
      </c>
      <c r="U4" s="61" t="s">
        <v>242</v>
      </c>
      <c r="V4" s="61" t="s">
        <v>242</v>
      </c>
      <c r="W4" s="61" t="s">
        <v>242</v>
      </c>
      <c r="X4" s="61" t="s">
        <v>242</v>
      </c>
      <c r="Y4" s="62" t="s">
        <v>38</v>
      </c>
      <c r="Z4" s="62" t="s">
        <v>39</v>
      </c>
      <c r="AA4" s="62" t="s">
        <v>40</v>
      </c>
      <c r="AB4" s="62" t="s">
        <v>41</v>
      </c>
      <c r="AC4" s="62" t="s">
        <v>42</v>
      </c>
      <c r="AD4" s="62" t="s">
        <v>43</v>
      </c>
      <c r="AE4" s="62" t="s">
        <v>44</v>
      </c>
      <c r="AF4" s="61" t="s">
        <v>45</v>
      </c>
      <c r="AG4" s="62" t="s">
        <v>17</v>
      </c>
      <c r="AH4" s="62" t="s">
        <v>243</v>
      </c>
      <c r="AI4" s="62" t="s">
        <v>235</v>
      </c>
      <c r="AJ4" s="62" t="s">
        <v>39</v>
      </c>
      <c r="AK4" s="62" t="s">
        <v>40</v>
      </c>
      <c r="AL4" s="61" t="s">
        <v>18</v>
      </c>
      <c r="AM4" s="61" t="s">
        <v>21</v>
      </c>
      <c r="AN4" s="62" t="s">
        <v>244</v>
      </c>
      <c r="AO4" s="62" t="s">
        <v>41</v>
      </c>
      <c r="AP4" s="62" t="s">
        <v>48</v>
      </c>
      <c r="AQ4" s="62" t="s">
        <v>44</v>
      </c>
      <c r="AR4" s="61" t="s">
        <v>45</v>
      </c>
      <c r="AS4" s="61" t="s">
        <v>245</v>
      </c>
      <c r="AT4" s="62"/>
    </row>
    <row r="5" spans="2:46" ht="25.5" customHeight="1">
      <c r="B5" s="63" t="s">
        <v>200</v>
      </c>
      <c r="C5" s="64">
        <v>46082</v>
      </c>
      <c r="D5" s="65" t="s">
        <v>88</v>
      </c>
      <c r="E5" s="65" t="s">
        <v>173</v>
      </c>
      <c r="F5" s="65" t="s">
        <v>341</v>
      </c>
      <c r="G5" s="66" t="s">
        <v>54</v>
      </c>
      <c r="H5" s="66" t="s">
        <v>214</v>
      </c>
      <c r="I5" s="66" t="s">
        <v>54</v>
      </c>
      <c r="J5" s="66" t="s">
        <v>75</v>
      </c>
      <c r="K5" s="66" t="s">
        <v>55</v>
      </c>
      <c r="L5" s="66">
        <v>12</v>
      </c>
      <c r="M5" s="67">
        <f>SUMIFS(月次バックデータ!$H:$H,月次バックデータ!$B:$B,$B5,月次バックデータ!$E:$E,"グロス売上")</f>
        <v>230</v>
      </c>
      <c r="N5" s="67">
        <f>SUMIFS(月次バックデータ!$I:$I,月次バックデータ!$B:$B,$B5,月次バックデータ!$E:$E,"グロス売上")</f>
        <v>600</v>
      </c>
      <c r="O5" s="67">
        <f>SUMIFS(月次バックデータ!$J:$J,月次バックデータ!$B:$B,$B5,月次バックデータ!$E:$E,"グロス売上")</f>
        <v>840</v>
      </c>
      <c r="P5" s="67">
        <f>SUMIFS(月次バックデータ!$H:$H,月次バックデータ!$B:$B,$B5,月次バックデータ!$E:$E,"Sales Contribution")</f>
        <v>230</v>
      </c>
      <c r="Q5" s="67">
        <f>SUMIFS(月次バックデータ!$I:$I,月次バックデータ!$B:$B,$B5,月次バックデータ!$E:$E,"Sales Contribution")</f>
        <v>600</v>
      </c>
      <c r="R5" s="67">
        <f>SUMIFS(月次バックデータ!$J:$J,月次バックデータ!$B:$B,$B5,月次バックデータ!$E:$E,"Sales Contribution")</f>
        <v>840</v>
      </c>
      <c r="S5" s="67">
        <f>ROUND(SUMIFS(月次バックデータ!$M:$M,月次バックデータ!$B:$B,$B5,月次バックデータ!$E:$E,"グロス売上"),0)</f>
        <v>600</v>
      </c>
      <c r="T5" s="68">
        <v>0.9</v>
      </c>
      <c r="U5" s="68">
        <v>7.0000000000000007E-2</v>
      </c>
      <c r="V5" s="67">
        <f>ROUND(SUMIFS(月次バックデータ!$M:$M,月次バックデータ!$B:$B,$B5,月次バックデータ!$E:$E,"Sales Contribution"),0)</f>
        <v>600</v>
      </c>
      <c r="W5" s="67">
        <f>V5</f>
        <v>600</v>
      </c>
      <c r="X5" s="68">
        <v>0.5</v>
      </c>
      <c r="Y5" s="69" t="s">
        <v>214</v>
      </c>
      <c r="Z5" s="69" t="s">
        <v>214</v>
      </c>
      <c r="AA5" s="69" t="s">
        <v>214</v>
      </c>
      <c r="AB5" s="70" t="s">
        <v>246</v>
      </c>
      <c r="AC5" s="70" t="s">
        <v>246</v>
      </c>
      <c r="AD5" s="70" t="s">
        <v>246</v>
      </c>
      <c r="AE5" s="70" t="s">
        <v>246</v>
      </c>
      <c r="AF5" s="70" t="s">
        <v>246</v>
      </c>
      <c r="AG5" s="71">
        <f>0.5/3</f>
        <v>0.16666666666666666</v>
      </c>
      <c r="AH5" s="71">
        <f>0.5/3</f>
        <v>0.16666666666666666</v>
      </c>
      <c r="AI5" s="71">
        <f>0.5/3</f>
        <v>0.16666666666666666</v>
      </c>
      <c r="AJ5" s="71" t="s">
        <v>214</v>
      </c>
      <c r="AK5" s="71" t="s">
        <v>214</v>
      </c>
      <c r="AL5" s="71">
        <f t="shared" ref="AL5:AN10" si="0">0.25/3</f>
        <v>8.3333333333333329E-2</v>
      </c>
      <c r="AM5" s="71">
        <f t="shared" si="0"/>
        <v>8.3333333333333329E-2</v>
      </c>
      <c r="AN5" s="71">
        <f t="shared" si="0"/>
        <v>8.3333333333333329E-2</v>
      </c>
      <c r="AO5" s="71">
        <v>0.05</v>
      </c>
      <c r="AP5" s="71">
        <v>0.05</v>
      </c>
      <c r="AQ5" s="71">
        <v>0.05</v>
      </c>
      <c r="AR5" s="71">
        <v>0.05</v>
      </c>
      <c r="AS5" s="71">
        <v>0.05</v>
      </c>
      <c r="AT5" s="72">
        <f t="shared" ref="AT5:AT23" si="1">SUM(AG5:AS5)</f>
        <v>1.0000000000000002</v>
      </c>
    </row>
    <row r="6" spans="2:46" ht="25.5" customHeight="1">
      <c r="B6" s="63" t="s">
        <v>150</v>
      </c>
      <c r="C6" s="64">
        <v>46023</v>
      </c>
      <c r="D6" s="65" t="s">
        <v>88</v>
      </c>
      <c r="E6" s="65" t="s">
        <v>52</v>
      </c>
      <c r="F6" s="65" t="s">
        <v>339</v>
      </c>
      <c r="G6" s="66" t="s">
        <v>54</v>
      </c>
      <c r="H6" s="66" t="s">
        <v>54</v>
      </c>
      <c r="I6" s="66" t="s">
        <v>54</v>
      </c>
      <c r="J6" s="66" t="s">
        <v>75</v>
      </c>
      <c r="K6" s="66" t="s">
        <v>55</v>
      </c>
      <c r="L6" s="66">
        <v>12</v>
      </c>
      <c r="M6" s="67">
        <f>SUMIFS(月次バックデータ!$H:$H,月次バックデータ!$B:$B,$B6,月次バックデータ!$E:$E,"グロス売上")</f>
        <v>200</v>
      </c>
      <c r="N6" s="67">
        <f>SUMIFS(月次バックデータ!$I:$I,月次バックデータ!$B:$B,$B6,月次バックデータ!$E:$E,"グロス売上")</f>
        <v>400</v>
      </c>
      <c r="O6" s="67">
        <f>SUMIFS(月次バックデータ!$J:$J,月次バックデータ!$B:$B,$B6,月次バックデータ!$E:$E,"グロス売上")</f>
        <v>600</v>
      </c>
      <c r="P6" s="67">
        <f>SUMIFS(月次バックデータ!$H:$H,月次バックデータ!$B:$B,$B6,月次バックデータ!$E:$E,"Sales Contribution")</f>
        <v>200</v>
      </c>
      <c r="Q6" s="67">
        <f>SUMIFS(月次バックデータ!$I:$I,月次バックデータ!$B:$B,$B6,月次バックデータ!$E:$E,"Sales Contribution")</f>
        <v>400</v>
      </c>
      <c r="R6" s="67">
        <f>SUMIFS(月次バックデータ!$J:$J,月次バックデータ!$B:$B,$B6,月次バックデータ!$E:$E,"Sales Contribution")</f>
        <v>600</v>
      </c>
      <c r="S6" s="67">
        <f>ROUND(SUMIFS(月次バックデータ!$M:$M,月次バックデータ!$B:$B,$B6,月次バックデータ!$E:$E,"グロス売上"),0)</f>
        <v>317</v>
      </c>
      <c r="T6" s="68">
        <v>0.9</v>
      </c>
      <c r="U6" s="68">
        <v>7.0000000000000007E-2</v>
      </c>
      <c r="V6" s="67">
        <f>ROUND(SUMIFS(月次バックデータ!$M:$M,月次バックデータ!$B:$B,$B6,月次バックデータ!$E:$E,"Sales Contribution"),0)</f>
        <v>317</v>
      </c>
      <c r="W6" s="67">
        <f t="shared" ref="W6:W23" si="2">V6</f>
        <v>317</v>
      </c>
      <c r="X6" s="68">
        <v>0.5</v>
      </c>
      <c r="Y6" s="73" t="s">
        <v>152</v>
      </c>
      <c r="Z6" s="74" t="s">
        <v>214</v>
      </c>
      <c r="AA6" s="75">
        <v>1005</v>
      </c>
      <c r="AB6" s="76" t="s">
        <v>247</v>
      </c>
      <c r="AC6" s="76" t="s">
        <v>248</v>
      </c>
      <c r="AD6" s="76" t="s">
        <v>249</v>
      </c>
      <c r="AE6" s="76" t="s">
        <v>250</v>
      </c>
      <c r="AF6" s="76" t="s">
        <v>251</v>
      </c>
      <c r="AG6" s="71">
        <f>0.25/3</f>
        <v>8.3333333333333329E-2</v>
      </c>
      <c r="AH6" s="71">
        <f>0.25/3</f>
        <v>8.3333333333333329E-2</v>
      </c>
      <c r="AI6" s="71">
        <f>0.25/3</f>
        <v>8.3333333333333329E-2</v>
      </c>
      <c r="AJ6" s="71">
        <f>0.25/2</f>
        <v>0.125</v>
      </c>
      <c r="AK6" s="71">
        <f>0.25/2</f>
        <v>0.125</v>
      </c>
      <c r="AL6" s="71">
        <f t="shared" si="0"/>
        <v>8.3333333333333329E-2</v>
      </c>
      <c r="AM6" s="71">
        <f t="shared" si="0"/>
        <v>8.3333333333333329E-2</v>
      </c>
      <c r="AN6" s="71">
        <f t="shared" si="0"/>
        <v>8.3333333333333329E-2</v>
      </c>
      <c r="AO6" s="71">
        <v>0.05</v>
      </c>
      <c r="AP6" s="71">
        <v>0.05</v>
      </c>
      <c r="AQ6" s="71">
        <v>0.05</v>
      </c>
      <c r="AR6" s="71">
        <v>0.05</v>
      </c>
      <c r="AS6" s="71">
        <v>0.05</v>
      </c>
      <c r="AT6" s="72">
        <f t="shared" si="1"/>
        <v>1.0000000000000002</v>
      </c>
    </row>
    <row r="7" spans="2:46" ht="25.5" customHeight="1">
      <c r="B7" s="63" t="s">
        <v>203</v>
      </c>
      <c r="C7" s="64">
        <v>46113</v>
      </c>
      <c r="D7" s="65" t="s">
        <v>88</v>
      </c>
      <c r="E7" s="65" t="s">
        <v>52</v>
      </c>
      <c r="F7" s="65" t="s">
        <v>339</v>
      </c>
      <c r="G7" s="66" t="s">
        <v>214</v>
      </c>
      <c r="H7" s="66" t="s">
        <v>54</v>
      </c>
      <c r="I7" s="66" t="s">
        <v>54</v>
      </c>
      <c r="J7" s="66" t="s">
        <v>75</v>
      </c>
      <c r="K7" s="66" t="s">
        <v>55</v>
      </c>
      <c r="L7" s="66">
        <v>12</v>
      </c>
      <c r="M7" s="77" t="s">
        <v>214</v>
      </c>
      <c r="N7" s="77" t="s">
        <v>214</v>
      </c>
      <c r="O7" s="77" t="s">
        <v>214</v>
      </c>
      <c r="P7" s="67">
        <f>SUMIFS(月次バックデータ!$H:$H,月次バックデータ!$B:$B,$B7,月次バックデータ!$E:$E,"Sales Contribution")</f>
        <v>200</v>
      </c>
      <c r="Q7" s="67">
        <f>SUMIFS(月次バックデータ!$I:$I,月次バックデータ!$B:$B,$B7,月次バックデータ!$E:$E,"Sales Contribution")</f>
        <v>400</v>
      </c>
      <c r="R7" s="67">
        <f>SUMIFS(月次バックデータ!$J:$J,月次バックデータ!$B:$B,$B7,月次バックデータ!$E:$E,"Sales Contribution")</f>
        <v>600</v>
      </c>
      <c r="S7" s="77" t="s">
        <v>214</v>
      </c>
      <c r="T7" s="77" t="s">
        <v>214</v>
      </c>
      <c r="U7" s="77" t="s">
        <v>214</v>
      </c>
      <c r="V7" s="67">
        <f>ROUND(SUMIFS(月次バックデータ!$M:$M,月次バックデータ!$B:$B,$B7,月次バックデータ!$E:$E,"Sales Contribution"),0)</f>
        <v>267</v>
      </c>
      <c r="W7" s="67">
        <f t="shared" si="2"/>
        <v>267</v>
      </c>
      <c r="X7" s="68">
        <v>0.5</v>
      </c>
      <c r="Y7" s="73" t="s">
        <v>252</v>
      </c>
      <c r="Z7" s="74" t="s">
        <v>214</v>
      </c>
      <c r="AA7" s="75">
        <v>1817</v>
      </c>
      <c r="AB7" s="70" t="s">
        <v>246</v>
      </c>
      <c r="AC7" s="70" t="s">
        <v>246</v>
      </c>
      <c r="AD7" s="70" t="s">
        <v>246</v>
      </c>
      <c r="AE7" s="70" t="s">
        <v>246</v>
      </c>
      <c r="AF7" s="70" t="s">
        <v>246</v>
      </c>
      <c r="AG7" s="71" t="s">
        <v>214</v>
      </c>
      <c r="AH7" s="71" t="s">
        <v>214</v>
      </c>
      <c r="AI7" s="71" t="s">
        <v>214</v>
      </c>
      <c r="AJ7" s="71">
        <f>0.5/2</f>
        <v>0.25</v>
      </c>
      <c r="AK7" s="71">
        <f>0.5/2</f>
        <v>0.25</v>
      </c>
      <c r="AL7" s="71">
        <f t="shared" si="0"/>
        <v>8.3333333333333329E-2</v>
      </c>
      <c r="AM7" s="71">
        <f t="shared" si="0"/>
        <v>8.3333333333333329E-2</v>
      </c>
      <c r="AN7" s="71">
        <f t="shared" si="0"/>
        <v>8.3333333333333329E-2</v>
      </c>
      <c r="AO7" s="71">
        <v>0.05</v>
      </c>
      <c r="AP7" s="71">
        <v>0.05</v>
      </c>
      <c r="AQ7" s="71">
        <v>0.05</v>
      </c>
      <c r="AR7" s="71">
        <v>0.05</v>
      </c>
      <c r="AS7" s="71">
        <v>0.05</v>
      </c>
      <c r="AT7" s="72">
        <f t="shared" si="1"/>
        <v>1.0000000000000002</v>
      </c>
    </row>
    <row r="8" spans="2:46" ht="25.5" customHeight="1">
      <c r="B8" s="63" t="s">
        <v>138</v>
      </c>
      <c r="C8" s="64">
        <v>45931</v>
      </c>
      <c r="D8" s="65" t="s">
        <v>88</v>
      </c>
      <c r="E8" s="65" t="s">
        <v>52</v>
      </c>
      <c r="F8" s="65" t="s">
        <v>253</v>
      </c>
      <c r="G8" s="66" t="s">
        <v>54</v>
      </c>
      <c r="H8" s="66" t="s">
        <v>54</v>
      </c>
      <c r="I8" s="66" t="s">
        <v>54</v>
      </c>
      <c r="J8" s="66" t="s">
        <v>75</v>
      </c>
      <c r="K8" s="66" t="s">
        <v>55</v>
      </c>
      <c r="L8" s="66">
        <v>12</v>
      </c>
      <c r="M8" s="67">
        <f>SUMIFS(月次バックデータ!$H:$H,月次バックデータ!$B:$B,$B8,月次バックデータ!$E:$E,"グロス売上")</f>
        <v>50</v>
      </c>
      <c r="N8" s="67">
        <f>SUMIFS(月次バックデータ!$I:$I,月次バックデータ!$B:$B,$B8,月次バックデータ!$E:$E,"グロス売上")</f>
        <v>150</v>
      </c>
      <c r="O8" s="67">
        <f>SUMIFS(月次バックデータ!$J:$J,月次バックデータ!$B:$B,$B8,月次バックデータ!$E:$E,"グロス売上")</f>
        <v>250</v>
      </c>
      <c r="P8" s="67">
        <f>SUMIFS(月次バックデータ!$H:$H,月次バックデータ!$B:$B,$B8,月次バックデータ!$E:$E,"Sales Contribution")</f>
        <v>150</v>
      </c>
      <c r="Q8" s="67">
        <f>SUMIFS(月次バックデータ!$I:$I,月次バックデータ!$B:$B,$B8,月次バックデータ!$E:$E,"Sales Contribution")</f>
        <v>300</v>
      </c>
      <c r="R8" s="67">
        <f>SUMIFS(月次バックデータ!$J:$J,月次バックデータ!$B:$B,$B8,月次バックデータ!$E:$E,"Sales Contribution")</f>
        <v>400</v>
      </c>
      <c r="S8" s="67">
        <f>ROUND(SUMIFS(月次バックデータ!$M:$M,月次バックデータ!$B:$B,$B8,月次バックデータ!$E:$E,"グロス売上"),0)</f>
        <v>133</v>
      </c>
      <c r="T8" s="68">
        <v>0.9</v>
      </c>
      <c r="U8" s="68">
        <v>7.0000000000000007E-2</v>
      </c>
      <c r="V8" s="67">
        <f>ROUND(SUMIFS(月次バックデータ!$M:$M,月次バックデータ!$B:$B,$B8,月次バックデータ!$E:$E,"Sales Contribution"),0)</f>
        <v>275</v>
      </c>
      <c r="W8" s="67">
        <f t="shared" si="2"/>
        <v>275</v>
      </c>
      <c r="X8" s="68">
        <v>0.5</v>
      </c>
      <c r="Y8" s="73" t="s">
        <v>254</v>
      </c>
      <c r="Z8" s="74" t="s">
        <v>214</v>
      </c>
      <c r="AA8" s="75">
        <v>252</v>
      </c>
      <c r="AB8" s="76" t="s">
        <v>255</v>
      </c>
      <c r="AC8" s="76" t="s">
        <v>256</v>
      </c>
      <c r="AD8" s="76" t="s">
        <v>257</v>
      </c>
      <c r="AE8" s="76" t="s">
        <v>258</v>
      </c>
      <c r="AF8" s="76" t="s">
        <v>259</v>
      </c>
      <c r="AG8" s="71">
        <f t="shared" ref="AG8:AI10" si="3">0.25/3</f>
        <v>8.3333333333333329E-2</v>
      </c>
      <c r="AH8" s="71">
        <f t="shared" si="3"/>
        <v>8.3333333333333329E-2</v>
      </c>
      <c r="AI8" s="71">
        <f t="shared" si="3"/>
        <v>8.3333333333333329E-2</v>
      </c>
      <c r="AJ8" s="71">
        <f t="shared" ref="AJ8:AK10" si="4">0.25/2</f>
        <v>0.125</v>
      </c>
      <c r="AK8" s="71">
        <f t="shared" si="4"/>
        <v>0.125</v>
      </c>
      <c r="AL8" s="71">
        <f t="shared" si="0"/>
        <v>8.3333333333333329E-2</v>
      </c>
      <c r="AM8" s="71">
        <f t="shared" si="0"/>
        <v>8.3333333333333329E-2</v>
      </c>
      <c r="AN8" s="71">
        <f t="shared" si="0"/>
        <v>8.3333333333333329E-2</v>
      </c>
      <c r="AO8" s="71">
        <v>0.05</v>
      </c>
      <c r="AP8" s="71">
        <v>0.05</v>
      </c>
      <c r="AQ8" s="71">
        <v>0.05</v>
      </c>
      <c r="AR8" s="71">
        <v>0.05</v>
      </c>
      <c r="AS8" s="71">
        <v>0.05</v>
      </c>
      <c r="AT8" s="72">
        <f t="shared" si="1"/>
        <v>1.0000000000000002</v>
      </c>
    </row>
    <row r="9" spans="2:46" ht="25.5" customHeight="1">
      <c r="B9" s="63" t="s">
        <v>126</v>
      </c>
      <c r="C9" s="64">
        <v>45992</v>
      </c>
      <c r="D9" s="65" t="s">
        <v>88</v>
      </c>
      <c r="E9" s="65" t="s">
        <v>52</v>
      </c>
      <c r="F9" s="65" t="s">
        <v>340</v>
      </c>
      <c r="G9" s="66" t="s">
        <v>54</v>
      </c>
      <c r="H9" s="66" t="s">
        <v>54</v>
      </c>
      <c r="I9" s="66" t="s">
        <v>54</v>
      </c>
      <c r="J9" s="66" t="s">
        <v>75</v>
      </c>
      <c r="K9" s="66" t="s">
        <v>55</v>
      </c>
      <c r="L9" s="66">
        <v>12</v>
      </c>
      <c r="M9" s="67">
        <f>SUMIFS(月次バックデータ!$H:$H,月次バックデータ!$B:$B,$B9,月次バックデータ!$E:$E,"グロス売上")</f>
        <v>330</v>
      </c>
      <c r="N9" s="67">
        <f>SUMIFS(月次バックデータ!$I:$I,月次バックデータ!$B:$B,$B9,月次バックデータ!$E:$E,"グロス売上")</f>
        <v>660</v>
      </c>
      <c r="O9" s="67">
        <f>SUMIFS(月次バックデータ!$J:$J,月次バックデータ!$B:$B,$B9,月次バックデータ!$E:$E,"グロス売上")</f>
        <v>1126</v>
      </c>
      <c r="P9" s="67">
        <f>SUMIFS(月次バックデータ!$H:$H,月次バックデータ!$B:$B,$B9,月次バックデータ!$E:$E,"Sales Contribution")</f>
        <v>330</v>
      </c>
      <c r="Q9" s="67">
        <f>SUMIFS(月次バックデータ!$I:$I,月次バックデータ!$B:$B,$B9,月次バックデータ!$E:$E,"Sales Contribution")</f>
        <v>462</v>
      </c>
      <c r="R9" s="67">
        <f>SUMIFS(月次バックデータ!$J:$J,月次バックデータ!$B:$B,$B9,月次バックデータ!$E:$E,"Sales Contribution")</f>
        <v>704</v>
      </c>
      <c r="S9" s="67">
        <f>ROUND(SUMIFS(月次バックデータ!$M:$M,月次バックデータ!$B:$B,$B9,月次バックデータ!$E:$E,"グロス売上"),0)</f>
        <v>660</v>
      </c>
      <c r="T9" s="68">
        <v>0.9</v>
      </c>
      <c r="U9" s="68">
        <v>7.0000000000000007E-2</v>
      </c>
      <c r="V9" s="67">
        <f>ROUND(SUMIFS(月次バックデータ!$M:$M,月次バックデータ!$B:$B,$B9,月次バックデータ!$E:$E,"Sales Contribution"),0)</f>
        <v>462</v>
      </c>
      <c r="W9" s="67">
        <f t="shared" si="2"/>
        <v>462</v>
      </c>
      <c r="X9" s="68">
        <v>0.5</v>
      </c>
      <c r="Y9" s="73" t="s">
        <v>260</v>
      </c>
      <c r="Z9" s="74" t="s">
        <v>214</v>
      </c>
      <c r="AA9" s="75">
        <v>332</v>
      </c>
      <c r="AB9" s="76" t="s">
        <v>261</v>
      </c>
      <c r="AC9" s="76" t="s">
        <v>130</v>
      </c>
      <c r="AD9" s="76" t="s">
        <v>131</v>
      </c>
      <c r="AE9" s="76" t="s">
        <v>262</v>
      </c>
      <c r="AF9" s="76" t="s">
        <v>263</v>
      </c>
      <c r="AG9" s="71">
        <f t="shared" si="3"/>
        <v>8.3333333333333329E-2</v>
      </c>
      <c r="AH9" s="71">
        <f t="shared" si="3"/>
        <v>8.3333333333333329E-2</v>
      </c>
      <c r="AI9" s="71">
        <f t="shared" si="3"/>
        <v>8.3333333333333329E-2</v>
      </c>
      <c r="AJ9" s="71">
        <f t="shared" si="4"/>
        <v>0.125</v>
      </c>
      <c r="AK9" s="71">
        <f t="shared" si="4"/>
        <v>0.125</v>
      </c>
      <c r="AL9" s="71">
        <f t="shared" si="0"/>
        <v>8.3333333333333329E-2</v>
      </c>
      <c r="AM9" s="71">
        <f t="shared" si="0"/>
        <v>8.3333333333333329E-2</v>
      </c>
      <c r="AN9" s="71">
        <f t="shared" si="0"/>
        <v>8.3333333333333329E-2</v>
      </c>
      <c r="AO9" s="71">
        <v>0.05</v>
      </c>
      <c r="AP9" s="71">
        <v>0.05</v>
      </c>
      <c r="AQ9" s="71">
        <v>0.05</v>
      </c>
      <c r="AR9" s="71">
        <v>0.05</v>
      </c>
      <c r="AS9" s="71">
        <v>0.05</v>
      </c>
      <c r="AT9" s="72">
        <f t="shared" si="1"/>
        <v>1.0000000000000002</v>
      </c>
    </row>
    <row r="10" spans="2:46" ht="25.5" customHeight="1">
      <c r="B10" s="63" t="s">
        <v>172</v>
      </c>
      <c r="C10" s="64">
        <v>45778</v>
      </c>
      <c r="D10" s="65" t="s">
        <v>51</v>
      </c>
      <c r="E10" s="65" t="s">
        <v>173</v>
      </c>
      <c r="F10" s="65" t="s">
        <v>174</v>
      </c>
      <c r="G10" s="66" t="s">
        <v>54</v>
      </c>
      <c r="H10" s="66" t="s">
        <v>54</v>
      </c>
      <c r="I10" s="66" t="s">
        <v>54</v>
      </c>
      <c r="J10" s="66" t="s">
        <v>55</v>
      </c>
      <c r="K10" s="66" t="s">
        <v>55</v>
      </c>
      <c r="L10" s="66">
        <v>12</v>
      </c>
      <c r="M10" s="67">
        <f>SUMIFS(月次バックデータ!$H:$H,月次バックデータ!$B:$B,$B10,月次バックデータ!$E:$E,"グロス売上")</f>
        <v>209</v>
      </c>
      <c r="N10" s="67">
        <f>SUMIFS(月次バックデータ!$I:$I,月次バックデータ!$B:$B,$B10,月次バックデータ!$E:$E,"グロス売上")</f>
        <v>401</v>
      </c>
      <c r="O10" s="67">
        <f>SUMIFS(月次バックデータ!$J:$J,月次バックデータ!$B:$B,$B10,月次バックデータ!$E:$E,"グロス売上")</f>
        <v>506</v>
      </c>
      <c r="P10" s="67">
        <f>SUMIFS(月次バックデータ!$H:$H,月次バックデータ!$B:$B,$B10,月次バックデータ!$E:$E,"Sales Contribution")</f>
        <v>209</v>
      </c>
      <c r="Q10" s="67">
        <f>SUMIFS(月次バックデータ!$I:$I,月次バックデータ!$B:$B,$B10,月次バックデータ!$E:$E,"Sales Contribution")</f>
        <v>401</v>
      </c>
      <c r="R10" s="67">
        <f>SUMIFS(月次バックデータ!$J:$J,月次バックデータ!$B:$B,$B10,月次バックデータ!$E:$E,"Sales Contribution")</f>
        <v>506</v>
      </c>
      <c r="S10" s="67">
        <f>ROUND(SUMIFS(月次バックデータ!$M:$M,月次バックデータ!$B:$B,$B10,月次バックデータ!$E:$E,"グロス売上"),0)</f>
        <v>427</v>
      </c>
      <c r="T10" s="68">
        <v>0.9</v>
      </c>
      <c r="U10" s="68">
        <v>7.0000000000000007E-2</v>
      </c>
      <c r="V10" s="67">
        <f>ROUND(SUMIFS(月次バックデータ!$M:$M,月次バックデータ!$B:$B,$B10,月次バックデータ!$E:$E,"Sales Contribution"),0)</f>
        <v>427</v>
      </c>
      <c r="W10" s="67">
        <f t="shared" si="2"/>
        <v>427</v>
      </c>
      <c r="X10" s="68">
        <v>0.4</v>
      </c>
      <c r="Y10" s="73" t="s">
        <v>264</v>
      </c>
      <c r="Z10" s="74" t="s">
        <v>214</v>
      </c>
      <c r="AA10" s="75">
        <v>125</v>
      </c>
      <c r="AB10" s="76" t="s">
        <v>265</v>
      </c>
      <c r="AC10" s="76" t="s">
        <v>266</v>
      </c>
      <c r="AD10" s="76" t="s">
        <v>267</v>
      </c>
      <c r="AE10" s="76" t="s">
        <v>268</v>
      </c>
      <c r="AF10" s="76" t="s">
        <v>269</v>
      </c>
      <c r="AG10" s="71">
        <f t="shared" si="3"/>
        <v>8.3333333333333329E-2</v>
      </c>
      <c r="AH10" s="71">
        <f t="shared" si="3"/>
        <v>8.3333333333333329E-2</v>
      </c>
      <c r="AI10" s="71">
        <f t="shared" si="3"/>
        <v>8.3333333333333329E-2</v>
      </c>
      <c r="AJ10" s="71">
        <f t="shared" si="4"/>
        <v>0.125</v>
      </c>
      <c r="AK10" s="71">
        <f t="shared" si="4"/>
        <v>0.125</v>
      </c>
      <c r="AL10" s="71">
        <f t="shared" si="0"/>
        <v>8.3333333333333329E-2</v>
      </c>
      <c r="AM10" s="71">
        <f t="shared" si="0"/>
        <v>8.3333333333333329E-2</v>
      </c>
      <c r="AN10" s="71">
        <f t="shared" si="0"/>
        <v>8.3333333333333329E-2</v>
      </c>
      <c r="AO10" s="71">
        <v>0.05</v>
      </c>
      <c r="AP10" s="71">
        <v>0.05</v>
      </c>
      <c r="AQ10" s="71">
        <v>0.05</v>
      </c>
      <c r="AR10" s="71">
        <v>0.05</v>
      </c>
      <c r="AS10" s="71">
        <v>0.05</v>
      </c>
      <c r="AT10" s="72">
        <f t="shared" si="1"/>
        <v>1.0000000000000002</v>
      </c>
    </row>
    <row r="11" spans="2:46" ht="25.5" customHeight="1">
      <c r="B11" s="63" t="s">
        <v>186</v>
      </c>
      <c r="C11" s="64">
        <v>46023</v>
      </c>
      <c r="D11" s="65" t="s">
        <v>88</v>
      </c>
      <c r="E11" s="65" t="s">
        <v>173</v>
      </c>
      <c r="F11" s="65" t="s">
        <v>174</v>
      </c>
      <c r="G11" s="66" t="s">
        <v>214</v>
      </c>
      <c r="H11" s="66" t="s">
        <v>214</v>
      </c>
      <c r="I11" s="66" t="s">
        <v>54</v>
      </c>
      <c r="J11" s="66" t="s">
        <v>75</v>
      </c>
      <c r="K11" s="66" t="s">
        <v>55</v>
      </c>
      <c r="L11" s="66">
        <v>12</v>
      </c>
      <c r="M11" s="77" t="s">
        <v>214</v>
      </c>
      <c r="N11" s="77" t="s">
        <v>214</v>
      </c>
      <c r="O11" s="77" t="s">
        <v>214</v>
      </c>
      <c r="P11" s="67">
        <f>SUMIFS(月次バックデータ!$H:$H,月次バックデータ!$B:$B,$B11,月次バックデータ!$E:$E,"Sales Contribution")</f>
        <v>200</v>
      </c>
      <c r="Q11" s="67">
        <f>SUMIFS(月次バックデータ!$I:$I,月次バックデータ!$B:$B,$B11,月次バックデータ!$E:$E,"Sales Contribution")</f>
        <v>200</v>
      </c>
      <c r="R11" s="67">
        <f>SUMIFS(月次バックデータ!$J:$J,月次バックデータ!$B:$B,$B11,月次バックデータ!$E:$E,"Sales Contribution")</f>
        <v>200</v>
      </c>
      <c r="S11" s="77" t="s">
        <v>214</v>
      </c>
      <c r="T11" s="77" t="s">
        <v>214</v>
      </c>
      <c r="U11" s="77" t="s">
        <v>214</v>
      </c>
      <c r="V11" s="67">
        <f>ROUND(SUMIFS(月次バックデータ!$M:$M,月次バックデータ!$B:$B,$B11,月次バックデータ!$E:$E,"Sales Contribution"),0)</f>
        <v>200</v>
      </c>
      <c r="W11" s="67">
        <f t="shared" si="2"/>
        <v>200</v>
      </c>
      <c r="X11" s="68">
        <v>0.5</v>
      </c>
      <c r="Y11" s="69" t="s">
        <v>214</v>
      </c>
      <c r="Z11" s="69" t="s">
        <v>214</v>
      </c>
      <c r="AA11" s="69" t="s">
        <v>214</v>
      </c>
      <c r="AB11" s="70" t="s">
        <v>246</v>
      </c>
      <c r="AC11" s="70" t="s">
        <v>246</v>
      </c>
      <c r="AD11" s="70" t="s">
        <v>246</v>
      </c>
      <c r="AE11" s="70" t="s">
        <v>246</v>
      </c>
      <c r="AF11" s="70" t="s">
        <v>246</v>
      </c>
      <c r="AG11" s="71" t="s">
        <v>214</v>
      </c>
      <c r="AH11" s="71" t="s">
        <v>214</v>
      </c>
      <c r="AI11" s="71" t="s">
        <v>214</v>
      </c>
      <c r="AJ11" s="71" t="s">
        <v>214</v>
      </c>
      <c r="AK11" s="71" t="s">
        <v>214</v>
      </c>
      <c r="AL11" s="71">
        <f>0.75/3</f>
        <v>0.25</v>
      </c>
      <c r="AM11" s="71">
        <f>0.75/3</f>
        <v>0.25</v>
      </c>
      <c r="AN11" s="71">
        <f>0.75/3</f>
        <v>0.25</v>
      </c>
      <c r="AO11" s="71">
        <v>0.05</v>
      </c>
      <c r="AP11" s="71">
        <v>0.05</v>
      </c>
      <c r="AQ11" s="71">
        <v>0.05</v>
      </c>
      <c r="AR11" s="71">
        <v>0.05</v>
      </c>
      <c r="AS11" s="71">
        <v>0.05</v>
      </c>
      <c r="AT11" s="72">
        <f t="shared" si="1"/>
        <v>1.0000000000000002</v>
      </c>
    </row>
    <row r="12" spans="2:46" ht="25.5" customHeight="1">
      <c r="B12" s="63" t="s">
        <v>187</v>
      </c>
      <c r="C12" s="64">
        <v>45931</v>
      </c>
      <c r="D12" s="65" t="s">
        <v>51</v>
      </c>
      <c r="E12" s="65" t="s">
        <v>173</v>
      </c>
      <c r="F12" s="65" t="s">
        <v>338</v>
      </c>
      <c r="G12" s="66" t="s">
        <v>54</v>
      </c>
      <c r="H12" s="66" t="s">
        <v>214</v>
      </c>
      <c r="I12" s="66" t="s">
        <v>54</v>
      </c>
      <c r="J12" s="66" t="s">
        <v>75</v>
      </c>
      <c r="K12" s="66" t="s">
        <v>55</v>
      </c>
      <c r="L12" s="66">
        <v>12</v>
      </c>
      <c r="M12" s="67">
        <f>SUMIFS(月次バックデータ!$H:$H,月次バックデータ!$B:$B,$B12,月次バックデータ!$E:$E,"グロス売上")</f>
        <v>200</v>
      </c>
      <c r="N12" s="67">
        <f>SUMIFS(月次バックデータ!$I:$I,月次バックデータ!$B:$B,$B12,月次バックデータ!$E:$E,"グロス売上")</f>
        <v>600</v>
      </c>
      <c r="O12" s="67">
        <f>SUMIFS(月次バックデータ!$J:$J,月次バックデータ!$B:$B,$B12,月次バックデータ!$E:$E,"グロス売上")</f>
        <v>1100</v>
      </c>
      <c r="P12" s="67">
        <f>SUMIFS(月次バックデータ!$H:$H,月次バックデータ!$B:$B,$B12,月次バックデータ!$E:$E,"Sales Contribution")</f>
        <v>200</v>
      </c>
      <c r="Q12" s="67">
        <f>SUMIFS(月次バックデータ!$I:$I,月次バックデータ!$B:$B,$B12,月次バックデータ!$E:$E,"Sales Contribution")</f>
        <v>400</v>
      </c>
      <c r="R12" s="67">
        <f>SUMIFS(月次バックデータ!$J:$J,月次バックデータ!$B:$B,$B12,月次バックデータ!$E:$E,"Sales Contribution")</f>
        <v>600</v>
      </c>
      <c r="S12" s="67">
        <f>ROUND(SUMIFS(月次バックデータ!$M:$M,月次バックデータ!$B:$B,$B12,月次バックデータ!$E:$E,"グロス売上"),0)</f>
        <v>533</v>
      </c>
      <c r="T12" s="68">
        <v>0.9</v>
      </c>
      <c r="U12" s="68">
        <v>7.0000000000000007E-2</v>
      </c>
      <c r="V12" s="67">
        <f>ROUND(SUMIFS(月次バックデータ!$M:$M,月次バックデータ!$B:$B,$B12,月次バックデータ!$E:$E,"Sales Contribution"),0)</f>
        <v>367</v>
      </c>
      <c r="W12" s="67">
        <f t="shared" si="2"/>
        <v>367</v>
      </c>
      <c r="X12" s="68">
        <v>0.4</v>
      </c>
      <c r="Y12" s="69" t="s">
        <v>214</v>
      </c>
      <c r="Z12" s="69" t="s">
        <v>214</v>
      </c>
      <c r="AA12" s="69" t="s">
        <v>214</v>
      </c>
      <c r="AB12" s="76" t="s">
        <v>270</v>
      </c>
      <c r="AC12" s="76" t="s">
        <v>271</v>
      </c>
      <c r="AD12" s="76" t="s">
        <v>272</v>
      </c>
      <c r="AE12" s="76" t="s">
        <v>273</v>
      </c>
      <c r="AF12" s="76" t="s">
        <v>274</v>
      </c>
      <c r="AG12" s="71">
        <f>0.5/3</f>
        <v>0.16666666666666666</v>
      </c>
      <c r="AH12" s="71">
        <f>0.5/3</f>
        <v>0.16666666666666666</v>
      </c>
      <c r="AI12" s="71">
        <f>0.5/3</f>
        <v>0.16666666666666666</v>
      </c>
      <c r="AJ12" s="71" t="s">
        <v>214</v>
      </c>
      <c r="AK12" s="71" t="s">
        <v>214</v>
      </c>
      <c r="AL12" s="71">
        <f t="shared" ref="AL12:AN19" si="5">0.25/3</f>
        <v>8.3333333333333329E-2</v>
      </c>
      <c r="AM12" s="71">
        <f t="shared" si="5"/>
        <v>8.3333333333333329E-2</v>
      </c>
      <c r="AN12" s="71">
        <f t="shared" si="5"/>
        <v>8.3333333333333329E-2</v>
      </c>
      <c r="AO12" s="71">
        <v>0.05</v>
      </c>
      <c r="AP12" s="71">
        <v>0.05</v>
      </c>
      <c r="AQ12" s="71">
        <v>0.05</v>
      </c>
      <c r="AR12" s="71">
        <v>0.05</v>
      </c>
      <c r="AS12" s="71">
        <v>0.05</v>
      </c>
      <c r="AT12" s="72">
        <f t="shared" si="1"/>
        <v>1.0000000000000002</v>
      </c>
    </row>
    <row r="13" spans="2:46" ht="25.5" customHeight="1">
      <c r="B13" s="63" t="s">
        <v>101</v>
      </c>
      <c r="C13" s="64">
        <v>45748</v>
      </c>
      <c r="D13" s="65" t="s">
        <v>88</v>
      </c>
      <c r="E13" s="65" t="s">
        <v>52</v>
      </c>
      <c r="F13" s="65" t="s">
        <v>337</v>
      </c>
      <c r="G13" s="66" t="s">
        <v>54</v>
      </c>
      <c r="H13" s="66" t="s">
        <v>54</v>
      </c>
      <c r="I13" s="66" t="s">
        <v>54</v>
      </c>
      <c r="J13" s="66" t="s">
        <v>55</v>
      </c>
      <c r="K13" s="66" t="s">
        <v>55</v>
      </c>
      <c r="L13" s="66">
        <v>12</v>
      </c>
      <c r="M13" s="67">
        <f>SUMIFS(月次バックデータ!$H:$H,月次バックデータ!$B:$B,$B13,月次バックデータ!$E:$E,"グロス売上")</f>
        <v>200</v>
      </c>
      <c r="N13" s="67">
        <f>SUMIFS(月次バックデータ!$I:$I,月次バックデータ!$B:$B,$B13,月次バックデータ!$E:$E,"グロス売上")</f>
        <v>400</v>
      </c>
      <c r="O13" s="67">
        <f>SUMIFS(月次バックデータ!$J:$J,月次バックデータ!$B:$B,$B13,月次バックデータ!$E:$E,"グロス売上")</f>
        <v>600</v>
      </c>
      <c r="P13" s="67">
        <f>SUMIFS(月次バックデータ!$H:$H,月次バックデータ!$B:$B,$B13,月次バックデータ!$E:$E,"Sales Contribution")</f>
        <v>200</v>
      </c>
      <c r="Q13" s="67">
        <f>SUMIFS(月次バックデータ!$I:$I,月次バックデータ!$B:$B,$B13,月次バックデータ!$E:$E,"Sales Contribution")</f>
        <v>400</v>
      </c>
      <c r="R13" s="67">
        <f>SUMIFS(月次バックデータ!$J:$J,月次バックデータ!$B:$B,$B13,月次バックデータ!$E:$E,"Sales Contribution")</f>
        <v>600</v>
      </c>
      <c r="S13" s="67">
        <f>ROUND(SUMIFS(月次バックデータ!$M:$M,月次バックデータ!$B:$B,$B13,月次バックデータ!$E:$E,"グロス売上"),0)</f>
        <v>467</v>
      </c>
      <c r="T13" s="68">
        <v>0.9</v>
      </c>
      <c r="U13" s="68">
        <v>7.0000000000000007E-2</v>
      </c>
      <c r="V13" s="67">
        <f>ROUND(SUMIFS(月次バックデータ!$M:$M,月次バックデータ!$B:$B,$B13,月次バックデータ!$E:$E,"Sales Contribution"),0)</f>
        <v>467</v>
      </c>
      <c r="W13" s="67">
        <f t="shared" si="2"/>
        <v>467</v>
      </c>
      <c r="X13" s="68">
        <v>0.5</v>
      </c>
      <c r="Y13" s="73" t="s">
        <v>275</v>
      </c>
      <c r="Z13" s="74" t="s">
        <v>214</v>
      </c>
      <c r="AA13" s="75">
        <v>400</v>
      </c>
      <c r="AB13" s="76" t="s">
        <v>247</v>
      </c>
      <c r="AC13" s="76" t="s">
        <v>276</v>
      </c>
      <c r="AD13" s="76" t="s">
        <v>277</v>
      </c>
      <c r="AE13" s="76" t="s">
        <v>278</v>
      </c>
      <c r="AF13" s="76" t="s">
        <v>279</v>
      </c>
      <c r="AG13" s="71">
        <f t="shared" ref="AG13:AI14" si="6">0.25/3</f>
        <v>8.3333333333333329E-2</v>
      </c>
      <c r="AH13" s="71">
        <f t="shared" si="6"/>
        <v>8.3333333333333329E-2</v>
      </c>
      <c r="AI13" s="71">
        <f t="shared" si="6"/>
        <v>8.3333333333333329E-2</v>
      </c>
      <c r="AJ13" s="71">
        <f>0.25/2</f>
        <v>0.125</v>
      </c>
      <c r="AK13" s="71">
        <f>0.25/2</f>
        <v>0.125</v>
      </c>
      <c r="AL13" s="71">
        <f t="shared" si="5"/>
        <v>8.3333333333333329E-2</v>
      </c>
      <c r="AM13" s="71">
        <f t="shared" si="5"/>
        <v>8.3333333333333329E-2</v>
      </c>
      <c r="AN13" s="71">
        <f t="shared" si="5"/>
        <v>8.3333333333333329E-2</v>
      </c>
      <c r="AO13" s="71">
        <v>0.05</v>
      </c>
      <c r="AP13" s="71">
        <v>0.05</v>
      </c>
      <c r="AQ13" s="71">
        <v>0.05</v>
      </c>
      <c r="AR13" s="71">
        <v>0.05</v>
      </c>
      <c r="AS13" s="71">
        <v>0.05</v>
      </c>
      <c r="AT13" s="72">
        <f t="shared" si="1"/>
        <v>1.0000000000000002</v>
      </c>
    </row>
    <row r="14" spans="2:46" ht="25.5" customHeight="1">
      <c r="B14" s="63" t="s">
        <v>204</v>
      </c>
      <c r="C14" s="64">
        <v>46143</v>
      </c>
      <c r="D14" s="65" t="s">
        <v>51</v>
      </c>
      <c r="E14" s="65" t="s">
        <v>52</v>
      </c>
      <c r="F14" s="65" t="s">
        <v>161</v>
      </c>
      <c r="G14" s="66" t="s">
        <v>54</v>
      </c>
      <c r="H14" s="66" t="s">
        <v>54</v>
      </c>
      <c r="I14" s="66" t="s">
        <v>54</v>
      </c>
      <c r="J14" s="66" t="s">
        <v>75</v>
      </c>
      <c r="K14" s="66" t="s">
        <v>55</v>
      </c>
      <c r="L14" s="66">
        <v>12</v>
      </c>
      <c r="M14" s="67">
        <f>SUMIFS(月次バックデータ!$H:$H,月次バックデータ!$B:$B,$B14,月次バックデータ!$E:$E,"グロス売上")</f>
        <v>200</v>
      </c>
      <c r="N14" s="67">
        <f>SUMIFS(月次バックデータ!$I:$I,月次バックデータ!$B:$B,$B14,月次バックデータ!$E:$E,"グロス売上")</f>
        <v>400</v>
      </c>
      <c r="O14" s="67">
        <f>SUMIFS(月次バックデータ!$J:$J,月次バックデータ!$B:$B,$B14,月次バックデータ!$E:$E,"グロス売上")</f>
        <v>600</v>
      </c>
      <c r="P14" s="67">
        <f>SUMIFS(月次バックデータ!$H:$H,月次バックデータ!$B:$B,$B14,月次バックデータ!$E:$E,"Sales Contribution")</f>
        <v>200</v>
      </c>
      <c r="Q14" s="67">
        <f>SUMIFS(月次バックデータ!$I:$I,月次バックデータ!$B:$B,$B14,月次バックデータ!$E:$E,"Sales Contribution")</f>
        <v>400</v>
      </c>
      <c r="R14" s="67">
        <f>SUMIFS(月次バックデータ!$J:$J,月次バックデータ!$B:$B,$B14,月次バックデータ!$E:$E,"Sales Contribution")</f>
        <v>600</v>
      </c>
      <c r="S14" s="67">
        <f>ROUND(SUMIFS(月次バックデータ!$M:$M,月次バックデータ!$B:$B,$B14,月次バックデータ!$E:$E,"グロス売上"),0)</f>
        <v>250</v>
      </c>
      <c r="T14" s="68">
        <v>0.9</v>
      </c>
      <c r="U14" s="68">
        <v>7.0000000000000007E-2</v>
      </c>
      <c r="V14" s="67">
        <f>ROUND(SUMIFS(月次バックデータ!$M:$M,月次バックデータ!$B:$B,$B14,月次バックデータ!$E:$E,"Sales Contribution"),0)</f>
        <v>250</v>
      </c>
      <c r="W14" s="67">
        <f t="shared" si="2"/>
        <v>250</v>
      </c>
      <c r="X14" s="68">
        <v>0.4</v>
      </c>
      <c r="Y14" s="73" t="s">
        <v>280</v>
      </c>
      <c r="Z14" s="74" t="s">
        <v>214</v>
      </c>
      <c r="AA14" s="75">
        <v>296</v>
      </c>
      <c r="AB14" s="70" t="s">
        <v>246</v>
      </c>
      <c r="AC14" s="70" t="s">
        <v>246</v>
      </c>
      <c r="AD14" s="70" t="s">
        <v>246</v>
      </c>
      <c r="AE14" s="70" t="s">
        <v>246</v>
      </c>
      <c r="AF14" s="70" t="s">
        <v>246</v>
      </c>
      <c r="AG14" s="71">
        <f t="shared" si="6"/>
        <v>8.3333333333333329E-2</v>
      </c>
      <c r="AH14" s="71">
        <f t="shared" si="6"/>
        <v>8.3333333333333329E-2</v>
      </c>
      <c r="AI14" s="71">
        <f t="shared" si="6"/>
        <v>8.3333333333333329E-2</v>
      </c>
      <c r="AJ14" s="71">
        <f>0.25/2</f>
        <v>0.125</v>
      </c>
      <c r="AK14" s="71">
        <f>0.25/2</f>
        <v>0.125</v>
      </c>
      <c r="AL14" s="71">
        <f t="shared" si="5"/>
        <v>8.3333333333333329E-2</v>
      </c>
      <c r="AM14" s="71">
        <f t="shared" si="5"/>
        <v>8.3333333333333329E-2</v>
      </c>
      <c r="AN14" s="71">
        <f t="shared" si="5"/>
        <v>8.3333333333333329E-2</v>
      </c>
      <c r="AO14" s="71">
        <v>0.05</v>
      </c>
      <c r="AP14" s="71">
        <v>0.05</v>
      </c>
      <c r="AQ14" s="71">
        <v>0.05</v>
      </c>
      <c r="AR14" s="71">
        <v>0.05</v>
      </c>
      <c r="AS14" s="71">
        <v>0.05</v>
      </c>
      <c r="AT14" s="72">
        <f t="shared" si="1"/>
        <v>1.0000000000000002</v>
      </c>
    </row>
    <row r="15" spans="2:46" ht="25.5" customHeight="1">
      <c r="B15" s="63" t="s">
        <v>160</v>
      </c>
      <c r="C15" s="64">
        <v>45931</v>
      </c>
      <c r="D15" s="65" t="s">
        <v>88</v>
      </c>
      <c r="E15" s="65" t="s">
        <v>52</v>
      </c>
      <c r="F15" s="65" t="s">
        <v>161</v>
      </c>
      <c r="G15" s="66" t="s">
        <v>214</v>
      </c>
      <c r="H15" s="66" t="s">
        <v>54</v>
      </c>
      <c r="I15" s="66" t="s">
        <v>54</v>
      </c>
      <c r="J15" s="66" t="s">
        <v>75</v>
      </c>
      <c r="K15" s="66" t="s">
        <v>55</v>
      </c>
      <c r="L15" s="66">
        <v>12</v>
      </c>
      <c r="M15" s="77" t="s">
        <v>214</v>
      </c>
      <c r="N15" s="77" t="s">
        <v>214</v>
      </c>
      <c r="O15" s="77" t="s">
        <v>214</v>
      </c>
      <c r="P15" s="67">
        <f>SUMIFS(月次バックデータ!$H:$H,月次バックデータ!$B:$B,$B15,月次バックデータ!$E:$E,"Sales Contribution")</f>
        <v>275</v>
      </c>
      <c r="Q15" s="67">
        <f>SUMIFS(月次バックデータ!$I:$I,月次バックデータ!$B:$B,$B15,月次バックデータ!$E:$E,"Sales Contribution")</f>
        <v>700</v>
      </c>
      <c r="R15" s="67">
        <f>SUMIFS(月次バックデータ!$J:$J,月次バックデータ!$B:$B,$B15,月次バックデータ!$E:$E,"Sales Contribution")</f>
        <v>1500</v>
      </c>
      <c r="S15" s="77" t="s">
        <v>214</v>
      </c>
      <c r="T15" s="77" t="s">
        <v>214</v>
      </c>
      <c r="U15" s="77" t="s">
        <v>214</v>
      </c>
      <c r="V15" s="67">
        <f>ROUND(SUMIFS(月次バックデータ!$M:$M,月次バックデータ!$B:$B,$B15,月次バックデータ!$E:$E,"Sales Contribution"),0)</f>
        <v>629</v>
      </c>
      <c r="W15" s="67">
        <f t="shared" si="2"/>
        <v>629</v>
      </c>
      <c r="X15" s="68">
        <v>0.5</v>
      </c>
      <c r="Y15" s="73" t="s">
        <v>281</v>
      </c>
      <c r="Z15" s="74" t="s">
        <v>214</v>
      </c>
      <c r="AA15" s="75">
        <v>311</v>
      </c>
      <c r="AB15" s="76" t="s">
        <v>163</v>
      </c>
      <c r="AC15" s="76" t="s">
        <v>282</v>
      </c>
      <c r="AD15" s="76" t="s">
        <v>283</v>
      </c>
      <c r="AE15" s="76" t="s">
        <v>284</v>
      </c>
      <c r="AF15" s="76" t="s">
        <v>285</v>
      </c>
      <c r="AG15" s="71" t="s">
        <v>214</v>
      </c>
      <c r="AH15" s="71" t="s">
        <v>214</v>
      </c>
      <c r="AI15" s="71" t="s">
        <v>214</v>
      </c>
      <c r="AJ15" s="71">
        <f t="shared" ref="AJ15:AK17" si="7">0.5/2</f>
        <v>0.25</v>
      </c>
      <c r="AK15" s="71">
        <f t="shared" si="7"/>
        <v>0.25</v>
      </c>
      <c r="AL15" s="71">
        <f t="shared" si="5"/>
        <v>8.3333333333333329E-2</v>
      </c>
      <c r="AM15" s="71">
        <f t="shared" si="5"/>
        <v>8.3333333333333329E-2</v>
      </c>
      <c r="AN15" s="71">
        <f t="shared" si="5"/>
        <v>8.3333333333333329E-2</v>
      </c>
      <c r="AO15" s="71">
        <v>0.05</v>
      </c>
      <c r="AP15" s="71">
        <v>0.05</v>
      </c>
      <c r="AQ15" s="71">
        <v>0.05</v>
      </c>
      <c r="AR15" s="71">
        <v>0.05</v>
      </c>
      <c r="AS15" s="71">
        <v>0.05</v>
      </c>
      <c r="AT15" s="72">
        <f t="shared" si="1"/>
        <v>1.0000000000000002</v>
      </c>
    </row>
    <row r="16" spans="2:46" ht="25.5" customHeight="1">
      <c r="B16" s="63" t="s">
        <v>199</v>
      </c>
      <c r="C16" s="64">
        <v>46054</v>
      </c>
      <c r="D16" s="65" t="s">
        <v>88</v>
      </c>
      <c r="E16" s="65" t="s">
        <v>52</v>
      </c>
      <c r="F16" s="65" t="s">
        <v>161</v>
      </c>
      <c r="G16" s="66" t="s">
        <v>214</v>
      </c>
      <c r="H16" s="66" t="s">
        <v>54</v>
      </c>
      <c r="I16" s="66" t="s">
        <v>54</v>
      </c>
      <c r="J16" s="66" t="s">
        <v>75</v>
      </c>
      <c r="K16" s="66" t="s">
        <v>55</v>
      </c>
      <c r="L16" s="66">
        <v>12</v>
      </c>
      <c r="M16" s="77" t="s">
        <v>214</v>
      </c>
      <c r="N16" s="77" t="s">
        <v>214</v>
      </c>
      <c r="O16" s="77" t="s">
        <v>214</v>
      </c>
      <c r="P16" s="67">
        <f>SUMIFS(月次バックデータ!$H:$H,月次バックデータ!$B:$B,$B16,月次バックデータ!$E:$E,"Sales Contribution")</f>
        <v>200</v>
      </c>
      <c r="Q16" s="67">
        <f>SUMIFS(月次バックデータ!$I:$I,月次バックデータ!$B:$B,$B16,月次バックデータ!$E:$E,"Sales Contribution")</f>
        <v>400</v>
      </c>
      <c r="R16" s="67">
        <f>SUMIFS(月次バックデータ!$J:$J,月次バックデータ!$B:$B,$B16,月次バックデータ!$E:$E,"Sales Contribution")</f>
        <v>600</v>
      </c>
      <c r="S16" s="77" t="s">
        <v>214</v>
      </c>
      <c r="T16" s="77" t="s">
        <v>214</v>
      </c>
      <c r="U16" s="77" t="s">
        <v>214</v>
      </c>
      <c r="V16" s="67">
        <f>ROUND(SUMIFS(月次バックデータ!$M:$M,月次バックデータ!$B:$B,$B16,月次バックデータ!$E:$E,"Sales Contribution"),0)</f>
        <v>300</v>
      </c>
      <c r="W16" s="67">
        <f t="shared" si="2"/>
        <v>300</v>
      </c>
      <c r="X16" s="68">
        <v>0.5</v>
      </c>
      <c r="Y16" s="73" t="s">
        <v>286</v>
      </c>
      <c r="Z16" s="74" t="s">
        <v>214</v>
      </c>
      <c r="AA16" s="75">
        <v>713</v>
      </c>
      <c r="AB16" s="70" t="s">
        <v>246</v>
      </c>
      <c r="AC16" s="70" t="s">
        <v>246</v>
      </c>
      <c r="AD16" s="70" t="s">
        <v>246</v>
      </c>
      <c r="AE16" s="70" t="s">
        <v>246</v>
      </c>
      <c r="AF16" s="70" t="s">
        <v>246</v>
      </c>
      <c r="AG16" s="71" t="s">
        <v>214</v>
      </c>
      <c r="AH16" s="71" t="s">
        <v>214</v>
      </c>
      <c r="AI16" s="71" t="s">
        <v>214</v>
      </c>
      <c r="AJ16" s="71">
        <f t="shared" si="7"/>
        <v>0.25</v>
      </c>
      <c r="AK16" s="71">
        <f t="shared" si="7"/>
        <v>0.25</v>
      </c>
      <c r="AL16" s="71">
        <f t="shared" si="5"/>
        <v>8.3333333333333329E-2</v>
      </c>
      <c r="AM16" s="71">
        <f t="shared" si="5"/>
        <v>8.3333333333333329E-2</v>
      </c>
      <c r="AN16" s="71">
        <f t="shared" si="5"/>
        <v>8.3333333333333329E-2</v>
      </c>
      <c r="AO16" s="71">
        <v>0.05</v>
      </c>
      <c r="AP16" s="71">
        <v>0.05</v>
      </c>
      <c r="AQ16" s="71">
        <v>0.05</v>
      </c>
      <c r="AR16" s="71">
        <v>0.05</v>
      </c>
      <c r="AS16" s="71">
        <v>0.05</v>
      </c>
      <c r="AT16" s="72">
        <f t="shared" si="1"/>
        <v>1.0000000000000002</v>
      </c>
    </row>
    <row r="17" spans="2:46" ht="25.5" customHeight="1">
      <c r="B17" s="63" t="s">
        <v>202</v>
      </c>
      <c r="C17" s="64">
        <v>46113</v>
      </c>
      <c r="D17" s="65" t="s">
        <v>88</v>
      </c>
      <c r="E17" s="65" t="s">
        <v>52</v>
      </c>
      <c r="F17" s="65" t="s">
        <v>161</v>
      </c>
      <c r="G17" s="66" t="s">
        <v>214</v>
      </c>
      <c r="H17" s="66" t="s">
        <v>54</v>
      </c>
      <c r="I17" s="66" t="s">
        <v>54</v>
      </c>
      <c r="J17" s="66" t="s">
        <v>75</v>
      </c>
      <c r="K17" s="66" t="s">
        <v>55</v>
      </c>
      <c r="L17" s="66">
        <v>12</v>
      </c>
      <c r="M17" s="77" t="s">
        <v>214</v>
      </c>
      <c r="N17" s="77" t="s">
        <v>214</v>
      </c>
      <c r="O17" s="77" t="s">
        <v>214</v>
      </c>
      <c r="P17" s="67">
        <f>SUMIFS(月次バックデータ!$H:$H,月次バックデータ!$B:$B,$B17,月次バックデータ!$E:$E,"Sales Contribution")</f>
        <v>200</v>
      </c>
      <c r="Q17" s="67">
        <f>SUMIFS(月次バックデータ!$I:$I,月次バックデータ!$B:$B,$B17,月次バックデータ!$E:$E,"Sales Contribution")</f>
        <v>400</v>
      </c>
      <c r="R17" s="67">
        <f>SUMIFS(月次バックデータ!$J:$J,月次バックデータ!$B:$B,$B17,月次バックデータ!$E:$E,"Sales Contribution")</f>
        <v>600</v>
      </c>
      <c r="S17" s="77" t="s">
        <v>214</v>
      </c>
      <c r="T17" s="77" t="s">
        <v>214</v>
      </c>
      <c r="U17" s="77" t="s">
        <v>214</v>
      </c>
      <c r="V17" s="67">
        <f>ROUND(SUMIFS(月次バックデータ!$M:$M,月次バックデータ!$B:$B,$B17,月次バックデータ!$E:$E,"Sales Contribution"),0)</f>
        <v>267</v>
      </c>
      <c r="W17" s="67">
        <f t="shared" si="2"/>
        <v>267</v>
      </c>
      <c r="X17" s="68">
        <v>0.5</v>
      </c>
      <c r="Y17" s="73" t="s">
        <v>287</v>
      </c>
      <c r="Z17" s="74" t="s">
        <v>214</v>
      </c>
      <c r="AA17" s="75">
        <v>200</v>
      </c>
      <c r="AB17" s="70" t="s">
        <v>246</v>
      </c>
      <c r="AC17" s="70" t="s">
        <v>246</v>
      </c>
      <c r="AD17" s="70" t="s">
        <v>246</v>
      </c>
      <c r="AE17" s="70" t="s">
        <v>246</v>
      </c>
      <c r="AF17" s="70" t="s">
        <v>246</v>
      </c>
      <c r="AG17" s="71" t="s">
        <v>214</v>
      </c>
      <c r="AH17" s="71" t="s">
        <v>214</v>
      </c>
      <c r="AI17" s="71" t="s">
        <v>214</v>
      </c>
      <c r="AJ17" s="71">
        <f t="shared" si="7"/>
        <v>0.25</v>
      </c>
      <c r="AK17" s="71">
        <f t="shared" si="7"/>
        <v>0.25</v>
      </c>
      <c r="AL17" s="71">
        <f t="shared" si="5"/>
        <v>8.3333333333333329E-2</v>
      </c>
      <c r="AM17" s="71">
        <f t="shared" si="5"/>
        <v>8.3333333333333329E-2</v>
      </c>
      <c r="AN17" s="71">
        <f t="shared" si="5"/>
        <v>8.3333333333333329E-2</v>
      </c>
      <c r="AO17" s="71">
        <v>0.05</v>
      </c>
      <c r="AP17" s="71">
        <v>0.05</v>
      </c>
      <c r="AQ17" s="71">
        <v>0.05</v>
      </c>
      <c r="AR17" s="71">
        <v>0.05</v>
      </c>
      <c r="AS17" s="71">
        <v>0.05</v>
      </c>
      <c r="AT17" s="72">
        <f t="shared" si="1"/>
        <v>1.0000000000000002</v>
      </c>
    </row>
    <row r="18" spans="2:46" ht="25.5" customHeight="1">
      <c r="B18" s="63" t="s">
        <v>74</v>
      </c>
      <c r="C18" s="64">
        <v>45870</v>
      </c>
      <c r="D18" s="65" t="s">
        <v>51</v>
      </c>
      <c r="E18" s="65" t="s">
        <v>52</v>
      </c>
      <c r="F18" s="65" t="s">
        <v>68</v>
      </c>
      <c r="G18" s="66" t="s">
        <v>54</v>
      </c>
      <c r="H18" s="66" t="s">
        <v>54</v>
      </c>
      <c r="I18" s="66" t="s">
        <v>54</v>
      </c>
      <c r="J18" s="66" t="s">
        <v>75</v>
      </c>
      <c r="K18" s="66" t="s">
        <v>55</v>
      </c>
      <c r="L18" s="66">
        <v>12</v>
      </c>
      <c r="M18" s="67">
        <f>SUMIFS(月次バックデータ!$H:$H,月次バックデータ!$B:$B,$B18,月次バックデータ!$E:$E,"グロス売上")</f>
        <v>500</v>
      </c>
      <c r="N18" s="67">
        <f>SUMIFS(月次バックデータ!$I:$I,月次バックデータ!$B:$B,$B18,月次バックデータ!$E:$E,"グロス売上")</f>
        <v>1300</v>
      </c>
      <c r="O18" s="67">
        <f>SUMIFS(月次バックデータ!$J:$J,月次バックデータ!$B:$B,$B18,月次バックデータ!$E:$E,"グロス売上")</f>
        <v>2500</v>
      </c>
      <c r="P18" s="67">
        <f>SUMIFS(月次バックデータ!$H:$H,月次バックデータ!$B:$B,$B18,月次バックデータ!$E:$E,"Sales Contribution")</f>
        <v>270</v>
      </c>
      <c r="Q18" s="67">
        <f>SUMIFS(月次バックデータ!$I:$I,月次バックデータ!$B:$B,$B18,月次バックデータ!$E:$E,"Sales Contribution")</f>
        <v>650</v>
      </c>
      <c r="R18" s="67">
        <f>SUMIFS(月次バックデータ!$J:$J,月次バックデータ!$B:$B,$B18,月次バックデータ!$E:$E,"Sales Contribution")</f>
        <v>1400</v>
      </c>
      <c r="S18" s="67">
        <f>ROUND(SUMIFS(月次バックデータ!$M:$M,月次バックデータ!$B:$B,$B18,月次バックデータ!$E:$E,"グロス売上"),0)</f>
        <v>1300</v>
      </c>
      <c r="T18" s="68">
        <v>0.9</v>
      </c>
      <c r="U18" s="68">
        <v>7.0000000000000007E-2</v>
      </c>
      <c r="V18" s="67">
        <f>ROUND(SUMIFS(月次バックデータ!$M:$M,月次バックデータ!$B:$B,$B18,月次バックデータ!$E:$E,"Sales Contribution"),0)</f>
        <v>650</v>
      </c>
      <c r="W18" s="67">
        <f t="shared" si="2"/>
        <v>650</v>
      </c>
      <c r="X18" s="68">
        <v>0.4</v>
      </c>
      <c r="Y18" s="69" t="s">
        <v>76</v>
      </c>
      <c r="Z18" s="74" t="s">
        <v>214</v>
      </c>
      <c r="AA18" s="75">
        <v>1179</v>
      </c>
      <c r="AB18" s="76" t="s">
        <v>288</v>
      </c>
      <c r="AC18" s="76" t="s">
        <v>289</v>
      </c>
      <c r="AD18" s="76" t="s">
        <v>290</v>
      </c>
      <c r="AE18" s="76" t="s">
        <v>291</v>
      </c>
      <c r="AF18" s="76" t="s">
        <v>292</v>
      </c>
      <c r="AG18" s="71">
        <f>0.25/3</f>
        <v>8.3333333333333329E-2</v>
      </c>
      <c r="AH18" s="71">
        <f>0.25/3</f>
        <v>8.3333333333333329E-2</v>
      </c>
      <c r="AI18" s="71">
        <f>0.25/3</f>
        <v>8.3333333333333329E-2</v>
      </c>
      <c r="AJ18" s="71">
        <f>0.25/2</f>
        <v>0.125</v>
      </c>
      <c r="AK18" s="71">
        <f>0.25/2</f>
        <v>0.125</v>
      </c>
      <c r="AL18" s="71">
        <f t="shared" si="5"/>
        <v>8.3333333333333329E-2</v>
      </c>
      <c r="AM18" s="71">
        <f t="shared" si="5"/>
        <v>8.3333333333333329E-2</v>
      </c>
      <c r="AN18" s="71">
        <f t="shared" si="5"/>
        <v>8.3333333333333329E-2</v>
      </c>
      <c r="AO18" s="71">
        <v>0.05</v>
      </c>
      <c r="AP18" s="71">
        <v>0.05</v>
      </c>
      <c r="AQ18" s="71">
        <v>0.05</v>
      </c>
      <c r="AR18" s="71">
        <v>0.05</v>
      </c>
      <c r="AS18" s="71">
        <v>0.05</v>
      </c>
      <c r="AT18" s="72">
        <f t="shared" si="1"/>
        <v>1.0000000000000002</v>
      </c>
    </row>
    <row r="19" spans="2:46" ht="25.5" customHeight="1">
      <c r="B19" s="63" t="s">
        <v>98</v>
      </c>
      <c r="C19" s="64">
        <v>46054</v>
      </c>
      <c r="D19" s="65" t="s">
        <v>51</v>
      </c>
      <c r="E19" s="65" t="s">
        <v>52</v>
      </c>
      <c r="F19" s="65" t="s">
        <v>68</v>
      </c>
      <c r="G19" s="66" t="s">
        <v>214</v>
      </c>
      <c r="H19" s="66" t="s">
        <v>54</v>
      </c>
      <c r="I19" s="66" t="s">
        <v>54</v>
      </c>
      <c r="J19" s="66" t="s">
        <v>75</v>
      </c>
      <c r="K19" s="66" t="s">
        <v>55</v>
      </c>
      <c r="L19" s="66">
        <v>12</v>
      </c>
      <c r="M19" s="77" t="s">
        <v>214</v>
      </c>
      <c r="N19" s="77" t="s">
        <v>214</v>
      </c>
      <c r="O19" s="77" t="s">
        <v>214</v>
      </c>
      <c r="P19" s="67">
        <f>SUMIFS(月次バックデータ!$H:$H,月次バックデータ!$B:$B,$B19,月次バックデータ!$E:$E,"Sales Contribution")</f>
        <v>353</v>
      </c>
      <c r="Q19" s="67">
        <f>SUMIFS(月次バックデータ!$I:$I,月次バックデータ!$B:$B,$B19,月次バックデータ!$E:$E,"Sales Contribution")</f>
        <v>1291</v>
      </c>
      <c r="R19" s="67">
        <f>SUMIFS(月次バックデータ!$J:$J,月次バックデータ!$B:$B,$B19,月次バックデータ!$E:$E,"Sales Contribution")</f>
        <v>1528</v>
      </c>
      <c r="S19" s="77" t="s">
        <v>214</v>
      </c>
      <c r="T19" s="77" t="s">
        <v>214</v>
      </c>
      <c r="U19" s="77" t="s">
        <v>214</v>
      </c>
      <c r="V19" s="67">
        <f>ROUND(SUMIFS(月次バックデータ!$M:$M,月次バックデータ!$B:$B,$B19,月次バックデータ!$E:$E,"Sales Contribution"),0)</f>
        <v>1291</v>
      </c>
      <c r="W19" s="67">
        <f t="shared" si="2"/>
        <v>1291</v>
      </c>
      <c r="X19" s="68">
        <v>0.4</v>
      </c>
      <c r="Y19" s="73" t="s">
        <v>99</v>
      </c>
      <c r="Z19" s="74" t="s">
        <v>214</v>
      </c>
      <c r="AA19" s="75">
        <v>215</v>
      </c>
      <c r="AB19" s="70" t="s">
        <v>246</v>
      </c>
      <c r="AC19" s="70" t="s">
        <v>246</v>
      </c>
      <c r="AD19" s="70" t="s">
        <v>246</v>
      </c>
      <c r="AE19" s="70" t="s">
        <v>246</v>
      </c>
      <c r="AF19" s="70" t="s">
        <v>246</v>
      </c>
      <c r="AG19" s="71" t="s">
        <v>214</v>
      </c>
      <c r="AH19" s="71" t="s">
        <v>214</v>
      </c>
      <c r="AI19" s="71" t="s">
        <v>214</v>
      </c>
      <c r="AJ19" s="71">
        <f>0.5/2</f>
        <v>0.25</v>
      </c>
      <c r="AK19" s="71">
        <f>0.5/2</f>
        <v>0.25</v>
      </c>
      <c r="AL19" s="71">
        <f t="shared" si="5"/>
        <v>8.3333333333333329E-2</v>
      </c>
      <c r="AM19" s="71">
        <f t="shared" si="5"/>
        <v>8.3333333333333329E-2</v>
      </c>
      <c r="AN19" s="71">
        <f t="shared" si="5"/>
        <v>8.3333333333333329E-2</v>
      </c>
      <c r="AO19" s="71">
        <v>0.05</v>
      </c>
      <c r="AP19" s="71">
        <v>0.05</v>
      </c>
      <c r="AQ19" s="71">
        <v>0.05</v>
      </c>
      <c r="AR19" s="71">
        <v>0.05</v>
      </c>
      <c r="AS19" s="71">
        <v>0.05</v>
      </c>
      <c r="AT19" s="72">
        <f t="shared" si="1"/>
        <v>1.0000000000000002</v>
      </c>
    </row>
    <row r="20" spans="2:46" ht="25.5" customHeight="1">
      <c r="B20" s="63" t="s">
        <v>87</v>
      </c>
      <c r="C20" s="64">
        <v>45597</v>
      </c>
      <c r="D20" s="65" t="s">
        <v>88</v>
      </c>
      <c r="E20" s="65" t="s">
        <v>52</v>
      </c>
      <c r="F20" s="65" t="s">
        <v>68</v>
      </c>
      <c r="G20" s="66" t="s">
        <v>214</v>
      </c>
      <c r="H20" s="66" t="s">
        <v>214</v>
      </c>
      <c r="I20" s="66" t="s">
        <v>54</v>
      </c>
      <c r="J20" s="66" t="s">
        <v>55</v>
      </c>
      <c r="K20" s="66" t="s">
        <v>55</v>
      </c>
      <c r="L20" s="66">
        <v>12</v>
      </c>
      <c r="M20" s="77" t="s">
        <v>214</v>
      </c>
      <c r="N20" s="77" t="s">
        <v>214</v>
      </c>
      <c r="O20" s="77" t="s">
        <v>214</v>
      </c>
      <c r="P20" s="67">
        <f>SUMIFS(月次バックデータ!$H:$H,月次バックデータ!$B:$B,$B20,月次バックデータ!$E:$E,"Sales Contribution")</f>
        <v>200</v>
      </c>
      <c r="Q20" s="67">
        <f>SUMIFS(月次バックデータ!$I:$I,月次バックデータ!$B:$B,$B20,月次バックデータ!$E:$E,"Sales Contribution")</f>
        <v>300</v>
      </c>
      <c r="R20" s="67">
        <f>SUMIFS(月次バックデータ!$J:$J,月次バックデータ!$B:$B,$B20,月次バックデータ!$E:$E,"Sales Contribution")</f>
        <v>0</v>
      </c>
      <c r="S20" s="77" t="s">
        <v>214</v>
      </c>
      <c r="T20" s="77" t="s">
        <v>214</v>
      </c>
      <c r="U20" s="77" t="s">
        <v>214</v>
      </c>
      <c r="V20" s="67">
        <f>ROUND(SUMIFS(月次バックデータ!$M:$M,月次バックデータ!$B:$B,$B20,月次バックデータ!$E:$E,"Sales Contribution"),0)</f>
        <v>300</v>
      </c>
      <c r="W20" s="67">
        <f t="shared" si="2"/>
        <v>300</v>
      </c>
      <c r="X20" s="68">
        <v>0.5</v>
      </c>
      <c r="Y20" s="69" t="s">
        <v>214</v>
      </c>
      <c r="Z20" s="69" t="s">
        <v>214</v>
      </c>
      <c r="AA20" s="69" t="s">
        <v>214</v>
      </c>
      <c r="AB20" s="76" t="s">
        <v>293</v>
      </c>
      <c r="AC20" s="76" t="s">
        <v>294</v>
      </c>
      <c r="AD20" s="76" t="s">
        <v>295</v>
      </c>
      <c r="AE20" s="76" t="s">
        <v>296</v>
      </c>
      <c r="AF20" s="76" t="s">
        <v>297</v>
      </c>
      <c r="AG20" s="71" t="s">
        <v>214</v>
      </c>
      <c r="AH20" s="71" t="s">
        <v>214</v>
      </c>
      <c r="AI20" s="71" t="s">
        <v>214</v>
      </c>
      <c r="AJ20" s="71" t="s">
        <v>214</v>
      </c>
      <c r="AK20" s="71" t="s">
        <v>214</v>
      </c>
      <c r="AL20" s="71">
        <f>0.75/3</f>
        <v>0.25</v>
      </c>
      <c r="AM20" s="71">
        <f>0.75/3</f>
        <v>0.25</v>
      </c>
      <c r="AN20" s="71">
        <f>0.75/3</f>
        <v>0.25</v>
      </c>
      <c r="AO20" s="71">
        <v>0.05</v>
      </c>
      <c r="AP20" s="71">
        <v>0.05</v>
      </c>
      <c r="AQ20" s="71">
        <v>0.05</v>
      </c>
      <c r="AR20" s="71">
        <v>0.05</v>
      </c>
      <c r="AS20" s="71">
        <v>0.05</v>
      </c>
      <c r="AT20" s="72">
        <f t="shared" si="1"/>
        <v>1.0000000000000002</v>
      </c>
    </row>
    <row r="21" spans="2:46" ht="25.5" customHeight="1">
      <c r="B21" s="63" t="s">
        <v>50</v>
      </c>
      <c r="C21" s="64">
        <v>45717</v>
      </c>
      <c r="D21" s="65" t="s">
        <v>51</v>
      </c>
      <c r="E21" s="65" t="s">
        <v>52</v>
      </c>
      <c r="F21" s="65" t="s">
        <v>53</v>
      </c>
      <c r="G21" s="66" t="s">
        <v>54</v>
      </c>
      <c r="H21" s="66" t="s">
        <v>54</v>
      </c>
      <c r="I21" s="66" t="s">
        <v>54</v>
      </c>
      <c r="J21" s="66" t="s">
        <v>55</v>
      </c>
      <c r="K21" s="66" t="s">
        <v>55</v>
      </c>
      <c r="L21" s="66">
        <v>12</v>
      </c>
      <c r="M21" s="67">
        <f>SUMIFS(月次バックデータ!$H:$H,月次バックデータ!$B:$B,$B21,月次バックデータ!$E:$E,"グロス売上")</f>
        <v>150</v>
      </c>
      <c r="N21" s="67">
        <f>SUMIFS(月次バックデータ!$I:$I,月次バックデータ!$B:$B,$B21,月次バックデータ!$E:$E,"グロス売上")</f>
        <v>400</v>
      </c>
      <c r="O21" s="67">
        <f>SUMIFS(月次バックデータ!$J:$J,月次バックデータ!$B:$B,$B21,月次バックデータ!$E:$E,"グロス売上")</f>
        <v>1000</v>
      </c>
      <c r="P21" s="67">
        <f>SUMIFS(月次バックデータ!$H:$H,月次バックデータ!$B:$B,$B21,月次バックデータ!$E:$E,"Sales Contribution")</f>
        <v>150</v>
      </c>
      <c r="Q21" s="67">
        <f>SUMIFS(月次バックデータ!$I:$I,月次バックデータ!$B:$B,$B21,月次バックデータ!$E:$E,"Sales Contribution")</f>
        <v>400</v>
      </c>
      <c r="R21" s="67">
        <f>SUMIFS(月次バックデータ!$J:$J,月次バックデータ!$B:$B,$B21,月次バックデータ!$E:$E,"Sales Contribution")</f>
        <v>1000</v>
      </c>
      <c r="S21" s="67">
        <f>ROUND(SUMIFS(月次バックデータ!$M:$M,月次バックデータ!$B:$B,$B21,月次バックデータ!$E:$E,"グロス売上"),0)</f>
        <v>650</v>
      </c>
      <c r="T21" s="68">
        <v>0.9</v>
      </c>
      <c r="U21" s="68">
        <v>7.0000000000000007E-2</v>
      </c>
      <c r="V21" s="67">
        <f>ROUND(SUMIFS(月次バックデータ!$M:$M,月次バックデータ!$B:$B,$B21,月次バックデータ!$E:$E,"Sales Contribution"),0)</f>
        <v>650</v>
      </c>
      <c r="W21" s="67">
        <f t="shared" si="2"/>
        <v>650</v>
      </c>
      <c r="X21" s="68">
        <v>0.4</v>
      </c>
      <c r="Y21" s="69" t="s">
        <v>298</v>
      </c>
      <c r="Z21" s="74" t="s">
        <v>214</v>
      </c>
      <c r="AA21" s="75">
        <v>3879</v>
      </c>
      <c r="AB21" s="76" t="s">
        <v>299</v>
      </c>
      <c r="AC21" s="76" t="s">
        <v>300</v>
      </c>
      <c r="AD21" s="76" t="s">
        <v>301</v>
      </c>
      <c r="AE21" s="76" t="s">
        <v>302</v>
      </c>
      <c r="AF21" s="76" t="s">
        <v>303</v>
      </c>
      <c r="AG21" s="71">
        <f t="shared" ref="AG21:AI22" si="8">0.25/3</f>
        <v>8.3333333333333329E-2</v>
      </c>
      <c r="AH21" s="71">
        <f t="shared" si="8"/>
        <v>8.3333333333333329E-2</v>
      </c>
      <c r="AI21" s="71">
        <f t="shared" si="8"/>
        <v>8.3333333333333329E-2</v>
      </c>
      <c r="AJ21" s="71">
        <f>0.25/2</f>
        <v>0.125</v>
      </c>
      <c r="AK21" s="71">
        <f>0.25/2</f>
        <v>0.125</v>
      </c>
      <c r="AL21" s="71">
        <f t="shared" ref="AL21:AN23" si="9">0.25/3</f>
        <v>8.3333333333333329E-2</v>
      </c>
      <c r="AM21" s="71">
        <f t="shared" si="9"/>
        <v>8.3333333333333329E-2</v>
      </c>
      <c r="AN21" s="71">
        <f t="shared" si="9"/>
        <v>8.3333333333333329E-2</v>
      </c>
      <c r="AO21" s="71">
        <v>0.05</v>
      </c>
      <c r="AP21" s="71">
        <v>0.05</v>
      </c>
      <c r="AQ21" s="71">
        <v>0.05</v>
      </c>
      <c r="AR21" s="71">
        <v>0.05</v>
      </c>
      <c r="AS21" s="71">
        <v>0.05</v>
      </c>
      <c r="AT21" s="72">
        <f t="shared" si="1"/>
        <v>1.0000000000000002</v>
      </c>
    </row>
    <row r="22" spans="2:46" ht="25.5" customHeight="1">
      <c r="B22" s="63" t="s">
        <v>113</v>
      </c>
      <c r="C22" s="64">
        <v>45870</v>
      </c>
      <c r="D22" s="65" t="s">
        <v>51</v>
      </c>
      <c r="E22" s="65" t="s">
        <v>52</v>
      </c>
      <c r="F22" s="65" t="s">
        <v>304</v>
      </c>
      <c r="G22" s="66" t="s">
        <v>54</v>
      </c>
      <c r="H22" s="66" t="s">
        <v>54</v>
      </c>
      <c r="I22" s="66" t="s">
        <v>54</v>
      </c>
      <c r="J22" s="66" t="s">
        <v>75</v>
      </c>
      <c r="K22" s="66" t="s">
        <v>55</v>
      </c>
      <c r="L22" s="66">
        <v>12</v>
      </c>
      <c r="M22" s="67">
        <f>SUMIFS(月次バックデータ!$H:$H,月次バックデータ!$B:$B,$B22,月次バックデータ!$E:$E,"グロス売上")</f>
        <v>400</v>
      </c>
      <c r="N22" s="67">
        <f>SUMIFS(月次バックデータ!$I:$I,月次バックデータ!$B:$B,$B22,月次バックデータ!$E:$E,"グロス売上")</f>
        <v>600</v>
      </c>
      <c r="O22" s="67">
        <f>SUMIFS(月次バックデータ!$J:$J,月次バックデータ!$B:$B,$B22,月次バックデータ!$E:$E,"グロス売上")</f>
        <v>1000</v>
      </c>
      <c r="P22" s="67">
        <f>SUMIFS(月次バックデータ!$H:$H,月次バックデータ!$B:$B,$B22,月次バックデータ!$E:$E,"Sales Contribution")</f>
        <v>200</v>
      </c>
      <c r="Q22" s="67">
        <f>SUMIFS(月次バックデータ!$I:$I,月次バックデータ!$B:$B,$B22,月次バックデータ!$E:$E,"Sales Contribution")</f>
        <v>400</v>
      </c>
      <c r="R22" s="67">
        <f>SUMIFS(月次バックデータ!$J:$J,月次バックデータ!$B:$B,$B22,月次バックデータ!$E:$E,"Sales Contribution")</f>
        <v>600</v>
      </c>
      <c r="S22" s="67">
        <f>ROUND(SUMIFS(月次バックデータ!$M:$M,月次バックデータ!$B:$B,$B22,月次バックデータ!$E:$E,"グロス売上"),0)</f>
        <v>600</v>
      </c>
      <c r="T22" s="68">
        <v>0.9</v>
      </c>
      <c r="U22" s="68">
        <v>7.0000000000000007E-2</v>
      </c>
      <c r="V22" s="67">
        <f>ROUND(SUMIFS(月次バックデータ!$M:$M,月次バックデータ!$B:$B,$B22,月次バックデータ!$E:$E,"Sales Contribution"),0)</f>
        <v>400</v>
      </c>
      <c r="W22" s="67">
        <f t="shared" si="2"/>
        <v>400</v>
      </c>
      <c r="X22" s="68">
        <v>0.4</v>
      </c>
      <c r="Y22" s="69" t="s">
        <v>305</v>
      </c>
      <c r="Z22" s="74" t="s">
        <v>214</v>
      </c>
      <c r="AA22" s="75">
        <v>564</v>
      </c>
      <c r="AB22" s="76" t="s">
        <v>306</v>
      </c>
      <c r="AC22" s="76" t="s">
        <v>307</v>
      </c>
      <c r="AD22" s="76" t="s">
        <v>308</v>
      </c>
      <c r="AE22" s="76" t="s">
        <v>309</v>
      </c>
      <c r="AF22" s="76" t="s">
        <v>310</v>
      </c>
      <c r="AG22" s="71">
        <f t="shared" si="8"/>
        <v>8.3333333333333329E-2</v>
      </c>
      <c r="AH22" s="71">
        <f t="shared" si="8"/>
        <v>8.3333333333333329E-2</v>
      </c>
      <c r="AI22" s="71">
        <f t="shared" si="8"/>
        <v>8.3333333333333329E-2</v>
      </c>
      <c r="AJ22" s="71">
        <f>0.25/2</f>
        <v>0.125</v>
      </c>
      <c r="AK22" s="71">
        <f>0.25/2</f>
        <v>0.125</v>
      </c>
      <c r="AL22" s="71">
        <f t="shared" si="9"/>
        <v>8.3333333333333329E-2</v>
      </c>
      <c r="AM22" s="71">
        <f t="shared" si="9"/>
        <v>8.3333333333333329E-2</v>
      </c>
      <c r="AN22" s="71">
        <f t="shared" si="9"/>
        <v>8.3333333333333329E-2</v>
      </c>
      <c r="AO22" s="71">
        <v>0.05</v>
      </c>
      <c r="AP22" s="71">
        <v>0.05</v>
      </c>
      <c r="AQ22" s="71">
        <v>0.05</v>
      </c>
      <c r="AR22" s="71">
        <v>0.05</v>
      </c>
      <c r="AS22" s="71">
        <v>0.05</v>
      </c>
      <c r="AT22" s="72">
        <f t="shared" si="1"/>
        <v>1.0000000000000002</v>
      </c>
    </row>
    <row r="23" spans="2:46" ht="25.5" customHeight="1">
      <c r="B23" s="63" t="s">
        <v>223</v>
      </c>
      <c r="C23" s="64">
        <v>46235</v>
      </c>
      <c r="D23" s="65" t="s">
        <v>51</v>
      </c>
      <c r="E23" s="65" t="s">
        <v>173</v>
      </c>
      <c r="F23" s="65" t="s">
        <v>311</v>
      </c>
      <c r="G23" s="66" t="s">
        <v>54</v>
      </c>
      <c r="H23" s="66" t="s">
        <v>214</v>
      </c>
      <c r="I23" s="66" t="s">
        <v>54</v>
      </c>
      <c r="J23" s="66" t="s">
        <v>75</v>
      </c>
      <c r="K23" s="66" t="s">
        <v>55</v>
      </c>
      <c r="L23" s="66">
        <v>12</v>
      </c>
      <c r="M23" s="67">
        <f>SUMIFS(月次バックデータ!$H:$H,月次バックデータ!$B:$B,$B23,月次バックデータ!$E:$E,"グロス売上")</f>
        <v>0</v>
      </c>
      <c r="N23" s="67">
        <f>SUMIFS(月次バックデータ!$I:$I,月次バックデータ!$B:$B,$B23,月次バックデータ!$E:$E,"グロス売上")</f>
        <v>150</v>
      </c>
      <c r="O23" s="67">
        <f>SUMIFS(月次バックデータ!$J:$J,月次バックデータ!$B:$B,$B23,月次バックデータ!$E:$E,"グロス売上")</f>
        <v>300</v>
      </c>
      <c r="P23" s="67">
        <f>SUMIFS(月次バックデータ!$H:$H,月次バックデータ!$B:$B,$B23,月次バックデータ!$E:$E,"Sales Contribution")</f>
        <v>0</v>
      </c>
      <c r="Q23" s="67">
        <f>SUMIFS(月次バックデータ!$I:$I,月次バックデータ!$B:$B,$B23,月次バックデータ!$E:$E,"Sales Contribution")</f>
        <v>150</v>
      </c>
      <c r="R23" s="67">
        <f>SUMIFS(月次バックデータ!$J:$J,月次バックデータ!$B:$B,$B23,月次バックデータ!$E:$E,"Sales Contribution")</f>
        <v>300</v>
      </c>
      <c r="S23" s="67">
        <f>ROUND(SUMIFS(月次バックデータ!$M:$M,月次バックデータ!$B:$B,$B23,月次バックデータ!$E:$E,"グロス売上"),0)</f>
        <v>150</v>
      </c>
      <c r="T23" s="68">
        <v>0.9</v>
      </c>
      <c r="U23" s="68">
        <v>7.0000000000000007E-2</v>
      </c>
      <c r="V23" s="67">
        <f>ROUND(SUMIFS(月次バックデータ!$M:$M,月次バックデータ!$B:$B,$B23,月次バックデータ!$E:$E,"Sales Contribution"),0)</f>
        <v>150</v>
      </c>
      <c r="W23" s="67">
        <f t="shared" si="2"/>
        <v>150</v>
      </c>
      <c r="X23" s="68">
        <v>0.4</v>
      </c>
      <c r="Y23" s="69" t="s">
        <v>214</v>
      </c>
      <c r="Z23" s="74" t="s">
        <v>214</v>
      </c>
      <c r="AA23" s="75" t="s">
        <v>214</v>
      </c>
      <c r="AB23" s="76" t="s">
        <v>246</v>
      </c>
      <c r="AC23" s="76" t="s">
        <v>246</v>
      </c>
      <c r="AD23" s="76" t="s">
        <v>246</v>
      </c>
      <c r="AE23" s="76" t="s">
        <v>246</v>
      </c>
      <c r="AF23" s="76" t="s">
        <v>246</v>
      </c>
      <c r="AG23" s="71">
        <f>0.5/3</f>
        <v>0.16666666666666666</v>
      </c>
      <c r="AH23" s="71">
        <f>0.5/3</f>
        <v>0.16666666666666666</v>
      </c>
      <c r="AI23" s="71">
        <f>0.5/3</f>
        <v>0.16666666666666666</v>
      </c>
      <c r="AJ23" s="71" t="s">
        <v>214</v>
      </c>
      <c r="AK23" s="71" t="s">
        <v>214</v>
      </c>
      <c r="AL23" s="71">
        <f t="shared" si="9"/>
        <v>8.3333333333333329E-2</v>
      </c>
      <c r="AM23" s="71">
        <f t="shared" si="9"/>
        <v>8.3333333333333329E-2</v>
      </c>
      <c r="AN23" s="71">
        <f t="shared" si="9"/>
        <v>8.3333333333333329E-2</v>
      </c>
      <c r="AO23" s="71">
        <v>0.05</v>
      </c>
      <c r="AP23" s="71">
        <v>0.05</v>
      </c>
      <c r="AQ23" s="71">
        <v>0.05</v>
      </c>
      <c r="AR23" s="71">
        <v>0.05</v>
      </c>
      <c r="AS23" s="71">
        <v>0.05</v>
      </c>
      <c r="AT23" s="72">
        <f t="shared" si="1"/>
        <v>1.0000000000000002</v>
      </c>
    </row>
    <row r="24" spans="2:46" ht="18.75" customHeight="1">
      <c r="B24" s="63" t="s">
        <v>332</v>
      </c>
      <c r="C24" s="64">
        <v>46296</v>
      </c>
      <c r="D24" s="65" t="s">
        <v>331</v>
      </c>
      <c r="E24" s="65" t="s">
        <v>173</v>
      </c>
      <c r="F24" s="65" t="s">
        <v>311</v>
      </c>
      <c r="G24" s="66"/>
      <c r="H24" s="66"/>
      <c r="I24" s="66"/>
      <c r="J24" s="66"/>
      <c r="K24" s="66"/>
      <c r="L24" s="66"/>
      <c r="M24" s="67"/>
      <c r="N24" s="67"/>
      <c r="O24" s="67"/>
      <c r="P24" s="67"/>
      <c r="Q24" s="67"/>
      <c r="R24" s="67"/>
      <c r="S24" s="67"/>
      <c r="T24" s="68"/>
      <c r="U24" s="68"/>
      <c r="V24" s="67"/>
      <c r="W24" s="67"/>
      <c r="X24" s="68"/>
      <c r="Y24" s="69"/>
      <c r="Z24" s="74"/>
      <c r="AA24" s="75"/>
      <c r="AB24" s="76"/>
      <c r="AC24" s="76"/>
      <c r="AD24" s="76"/>
      <c r="AE24" s="76"/>
      <c r="AF24" s="76"/>
      <c r="AG24" s="71"/>
      <c r="AH24" s="71"/>
      <c r="AI24" s="71"/>
      <c r="AJ24" s="71"/>
      <c r="AK24" s="71"/>
      <c r="AL24" s="71"/>
      <c r="AM24" s="71"/>
      <c r="AN24" s="71"/>
      <c r="AO24" s="71"/>
      <c r="AP24" s="71"/>
      <c r="AQ24" s="71"/>
      <c r="AR24" s="71"/>
      <c r="AS24" s="71"/>
      <c r="AT24" s="72"/>
    </row>
  </sheetData>
  <mergeCells count="21">
    <mergeCell ref="B2:B4"/>
    <mergeCell ref="C2:C4"/>
    <mergeCell ref="D2:D4"/>
    <mergeCell ref="E2:E4"/>
    <mergeCell ref="F2:F4"/>
    <mergeCell ref="G2:I3"/>
    <mergeCell ref="J2:J3"/>
    <mergeCell ref="K2:L3"/>
    <mergeCell ref="M2:O2"/>
    <mergeCell ref="P2:R2"/>
    <mergeCell ref="M3:O3"/>
    <mergeCell ref="P3:R3"/>
    <mergeCell ref="S2:U2"/>
    <mergeCell ref="V2:X2"/>
    <mergeCell ref="Y2:AA3"/>
    <mergeCell ref="AB2:AF3"/>
    <mergeCell ref="AG2:AT2"/>
    <mergeCell ref="AG3:AI3"/>
    <mergeCell ref="AJ3:AK3"/>
    <mergeCell ref="AL3:AN3"/>
    <mergeCell ref="AO3:AS3"/>
  </mergeCells>
  <phoneticPr fontId="45"/>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04A6-1E1C-4290-9818-07CAE5A1894F}">
  <dimension ref="B2:AV26"/>
  <sheetViews>
    <sheetView showGridLines="0" tabSelected="1" zoomScale="80" zoomScaleNormal="80" workbookViewId="0">
      <pane xSplit="6" ySplit="4" topLeftCell="AC14" activePane="bottomRight" state="frozen"/>
      <selection pane="topRight" activeCell="R1" sqref="R1"/>
      <selection pane="bottomLeft" activeCell="A5" sqref="A5"/>
      <selection pane="bottomRight" activeCell="F18" sqref="F18"/>
    </sheetView>
  </sheetViews>
  <sheetFormatPr defaultColWidth="8.5" defaultRowHeight="18" outlineLevelRow="1" outlineLevelCol="1"/>
  <cols>
    <col min="1" max="1" width="3.75" style="56" customWidth="1"/>
    <col min="2" max="2" width="9.83203125" style="56" customWidth="1"/>
    <col min="3" max="3" width="13" style="56" customWidth="1"/>
    <col min="4" max="4" width="8.5" style="56"/>
    <col min="5" max="5" width="13.08203125" style="56" customWidth="1"/>
    <col min="6" max="6" width="17.83203125" style="56" customWidth="1"/>
    <col min="7" max="9" width="13.25" style="56" customWidth="1"/>
    <col min="10" max="18" width="13.25" style="56" customWidth="1" outlineLevel="1"/>
    <col min="19" max="26" width="13.25" style="56" customWidth="1"/>
    <col min="27" max="27" width="34.5" style="56" customWidth="1"/>
    <col min="28" max="48" width="13.25" style="56" customWidth="1"/>
    <col min="49" max="16384" width="8.5" style="56"/>
  </cols>
  <sheetData>
    <row r="2" spans="2:48" s="57" customFormat="1" ht="18.75" customHeight="1">
      <c r="B2" s="118" t="s">
        <v>27</v>
      </c>
      <c r="C2" s="119" t="s">
        <v>28</v>
      </c>
      <c r="D2" s="120" t="s">
        <v>29</v>
      </c>
      <c r="E2" s="120" t="s">
        <v>30</v>
      </c>
      <c r="F2" s="119" t="s">
        <v>227</v>
      </c>
      <c r="G2" s="121" t="s">
        <v>228</v>
      </c>
      <c r="H2" s="121"/>
      <c r="I2" s="121"/>
      <c r="J2" s="114" t="s">
        <v>229</v>
      </c>
      <c r="K2" s="114" t="s">
        <v>230</v>
      </c>
      <c r="L2" s="114"/>
      <c r="M2" s="114" t="s">
        <v>231</v>
      </c>
      <c r="N2" s="114"/>
      <c r="O2" s="114"/>
      <c r="P2" s="114" t="s">
        <v>232</v>
      </c>
      <c r="Q2" s="114"/>
      <c r="R2" s="114"/>
      <c r="S2" s="114" t="s">
        <v>231</v>
      </c>
      <c r="T2" s="114"/>
      <c r="U2" s="114"/>
      <c r="V2" s="114" t="s">
        <v>232</v>
      </c>
      <c r="W2" s="114"/>
      <c r="X2" s="114"/>
      <c r="Y2" s="114"/>
      <c r="Z2" s="114"/>
      <c r="AA2" s="114" t="s">
        <v>233</v>
      </c>
      <c r="AB2" s="114"/>
      <c r="AC2" s="114"/>
      <c r="AD2" s="115" t="s">
        <v>234</v>
      </c>
      <c r="AE2" s="115"/>
      <c r="AF2" s="115"/>
      <c r="AG2" s="115"/>
      <c r="AH2" s="115"/>
      <c r="AI2" s="114" t="s">
        <v>7</v>
      </c>
      <c r="AJ2" s="114"/>
      <c r="AK2" s="114"/>
      <c r="AL2" s="114"/>
      <c r="AM2" s="114"/>
      <c r="AN2" s="114"/>
      <c r="AO2" s="114"/>
      <c r="AP2" s="114"/>
      <c r="AQ2" s="114"/>
      <c r="AR2" s="114"/>
      <c r="AS2" s="114"/>
      <c r="AT2" s="114"/>
      <c r="AU2" s="114"/>
      <c r="AV2" s="114"/>
    </row>
    <row r="3" spans="2:48" s="57" customFormat="1" ht="31.5" customHeight="1">
      <c r="B3" s="118"/>
      <c r="C3" s="119"/>
      <c r="D3" s="119"/>
      <c r="E3" s="119"/>
      <c r="F3" s="119"/>
      <c r="G3" s="121"/>
      <c r="H3" s="121"/>
      <c r="I3" s="121"/>
      <c r="J3" s="114"/>
      <c r="K3" s="114"/>
      <c r="L3" s="114"/>
      <c r="M3" s="116" t="s">
        <v>334</v>
      </c>
      <c r="N3" s="116"/>
      <c r="O3" s="116"/>
      <c r="P3" s="117" t="s">
        <v>18</v>
      </c>
      <c r="Q3" s="117"/>
      <c r="R3" s="117"/>
      <c r="S3" s="58" t="s">
        <v>334</v>
      </c>
      <c r="T3" s="58" t="s">
        <v>335</v>
      </c>
      <c r="U3" s="58" t="s">
        <v>235</v>
      </c>
      <c r="V3" s="59" t="s">
        <v>18</v>
      </c>
      <c r="W3" s="101" t="s">
        <v>18</v>
      </c>
      <c r="X3" s="101" t="s">
        <v>352</v>
      </c>
      <c r="Y3" s="59" t="s">
        <v>21</v>
      </c>
      <c r="Z3" s="58" t="s">
        <v>22</v>
      </c>
      <c r="AA3" s="114"/>
      <c r="AB3" s="114"/>
      <c r="AC3" s="114"/>
      <c r="AD3" s="115"/>
      <c r="AE3" s="115"/>
      <c r="AF3" s="115"/>
      <c r="AG3" s="115"/>
      <c r="AH3" s="115"/>
      <c r="AI3" s="117" t="s">
        <v>231</v>
      </c>
      <c r="AJ3" s="117"/>
      <c r="AK3" s="117"/>
      <c r="AL3" s="117" t="s">
        <v>236</v>
      </c>
      <c r="AM3" s="117"/>
      <c r="AN3" s="117" t="s">
        <v>237</v>
      </c>
      <c r="AO3" s="117"/>
      <c r="AP3" s="117"/>
      <c r="AQ3" s="116" t="s">
        <v>25</v>
      </c>
      <c r="AR3" s="116"/>
      <c r="AS3" s="116"/>
      <c r="AT3" s="116"/>
      <c r="AU3" s="116"/>
      <c r="AV3" s="58" t="s">
        <v>26</v>
      </c>
    </row>
    <row r="4" spans="2:48" s="57" customFormat="1" ht="31.5" customHeight="1">
      <c r="B4" s="118"/>
      <c r="C4" s="119"/>
      <c r="D4" s="119"/>
      <c r="E4" s="119"/>
      <c r="F4" s="119"/>
      <c r="G4" s="60" t="s">
        <v>238</v>
      </c>
      <c r="H4" s="61" t="s">
        <v>233</v>
      </c>
      <c r="I4" s="61" t="s">
        <v>33</v>
      </c>
      <c r="J4" s="62" t="s">
        <v>15</v>
      </c>
      <c r="K4" s="62" t="s">
        <v>15</v>
      </c>
      <c r="L4" s="62" t="s">
        <v>16</v>
      </c>
      <c r="M4" s="62" t="s">
        <v>239</v>
      </c>
      <c r="N4" s="62" t="s">
        <v>240</v>
      </c>
      <c r="O4" s="62" t="s">
        <v>241</v>
      </c>
      <c r="P4" s="62" t="s">
        <v>239</v>
      </c>
      <c r="Q4" s="62" t="s">
        <v>240</v>
      </c>
      <c r="R4" s="62" t="s">
        <v>241</v>
      </c>
      <c r="S4" s="61" t="s">
        <v>242</v>
      </c>
      <c r="T4" s="61" t="s">
        <v>242</v>
      </c>
      <c r="U4" s="61" t="s">
        <v>242</v>
      </c>
      <c r="V4" s="61" t="s">
        <v>242</v>
      </c>
      <c r="W4" s="94" t="s">
        <v>242</v>
      </c>
      <c r="X4" s="94" t="s">
        <v>351</v>
      </c>
      <c r="Y4" s="61" t="s">
        <v>242</v>
      </c>
      <c r="Z4" s="61" t="s">
        <v>242</v>
      </c>
      <c r="AA4" s="62" t="s">
        <v>38</v>
      </c>
      <c r="AB4" s="62" t="s">
        <v>39</v>
      </c>
      <c r="AC4" s="62" t="s">
        <v>40</v>
      </c>
      <c r="AD4" s="62" t="s">
        <v>41</v>
      </c>
      <c r="AE4" s="62" t="s">
        <v>42</v>
      </c>
      <c r="AF4" s="62" t="s">
        <v>43</v>
      </c>
      <c r="AG4" s="62" t="s">
        <v>44</v>
      </c>
      <c r="AH4" s="61" t="s">
        <v>45</v>
      </c>
      <c r="AI4" s="62" t="s">
        <v>17</v>
      </c>
      <c r="AJ4" s="62" t="s">
        <v>243</v>
      </c>
      <c r="AK4" s="62" t="s">
        <v>235</v>
      </c>
      <c r="AL4" s="62" t="s">
        <v>39</v>
      </c>
      <c r="AM4" s="62" t="s">
        <v>40</v>
      </c>
      <c r="AN4" s="61" t="s">
        <v>18</v>
      </c>
      <c r="AO4" s="61" t="s">
        <v>21</v>
      </c>
      <c r="AP4" s="62" t="s">
        <v>244</v>
      </c>
      <c r="AQ4" s="62" t="s">
        <v>41</v>
      </c>
      <c r="AR4" s="62" t="s">
        <v>48</v>
      </c>
      <c r="AS4" s="62" t="s">
        <v>44</v>
      </c>
      <c r="AT4" s="61" t="s">
        <v>45</v>
      </c>
      <c r="AU4" s="61" t="s">
        <v>245</v>
      </c>
      <c r="AV4" s="62"/>
    </row>
    <row r="5" spans="2:48" ht="25.5" customHeight="1">
      <c r="B5" s="63" t="s">
        <v>200</v>
      </c>
      <c r="C5" s="64">
        <v>46082</v>
      </c>
      <c r="D5" s="65" t="s">
        <v>88</v>
      </c>
      <c r="E5" s="65" t="s">
        <v>173</v>
      </c>
      <c r="F5" s="65" t="s">
        <v>341</v>
      </c>
      <c r="G5" s="66" t="s">
        <v>354</v>
      </c>
      <c r="H5" s="66" t="s">
        <v>214</v>
      </c>
      <c r="I5" s="66" t="s">
        <v>54</v>
      </c>
      <c r="J5" s="66" t="s">
        <v>75</v>
      </c>
      <c r="K5" s="66" t="s">
        <v>55</v>
      </c>
      <c r="L5" s="66">
        <v>12</v>
      </c>
      <c r="M5" s="67">
        <f>SUMIFS(月次バックデータ!$H:$H,月次バックデータ!$B:$B,$B5,月次バックデータ!$E:$E,"グロス売上")</f>
        <v>230</v>
      </c>
      <c r="N5" s="67">
        <f>SUMIFS(月次バックデータ!$I:$I,月次バックデータ!$B:$B,$B5,月次バックデータ!$E:$E,"グロス売上")</f>
        <v>600</v>
      </c>
      <c r="O5" s="67">
        <f>SUMIFS(月次バックデータ!$J:$J,月次バックデータ!$B:$B,$B5,月次バックデータ!$E:$E,"グロス売上")</f>
        <v>840</v>
      </c>
      <c r="P5" s="67">
        <f>SUMIFS(月次バックデータ!$H:$H,月次バックデータ!$B:$B,$B5,月次バックデータ!$E:$E,"Sales Contribution")</f>
        <v>230</v>
      </c>
      <c r="Q5" s="67">
        <f>SUMIFS(月次バックデータ!$I:$I,月次バックデータ!$B:$B,$B5,月次バックデータ!$E:$E,"Sales Contribution")</f>
        <v>600</v>
      </c>
      <c r="R5" s="67">
        <f>SUMIFS(月次バックデータ!$J:$J,月次バックデータ!$B:$B,$B5,月次バックデータ!$E:$E,"Sales Contribution")</f>
        <v>840</v>
      </c>
      <c r="S5" s="67">
        <f>IF(G5="○",VLOOKUP(F5,Practice別!B:O,14,FALSE),"-")</f>
        <v>444</v>
      </c>
      <c r="T5" s="68">
        <v>1</v>
      </c>
      <c r="U5" s="68">
        <v>7.0000000000000007E-2</v>
      </c>
      <c r="V5" s="67">
        <f>ROUND(SUMIFS(月次バックデータ!$M:$M,月次バックデータ!$B:$B,$B5,月次バックデータ!$E:$E,"Sales Contribution"),0)</f>
        <v>600</v>
      </c>
      <c r="W5" s="67">
        <f>$S5</f>
        <v>444</v>
      </c>
      <c r="X5" s="67">
        <f>IF(W5&gt;V5,W5,V5)</f>
        <v>600</v>
      </c>
      <c r="Y5" s="67">
        <f>V5</f>
        <v>600</v>
      </c>
      <c r="Z5" s="68">
        <v>0.5</v>
      </c>
      <c r="AA5" s="69" t="s">
        <v>214</v>
      </c>
      <c r="AB5" s="69" t="s">
        <v>214</v>
      </c>
      <c r="AC5" s="69" t="s">
        <v>214</v>
      </c>
      <c r="AD5" s="150" t="inlineStr">
        <is>
          <t xml:space="preserve">・データサイエンティスト、AIエンジニア、データ戦略コンサルタント等のAI/データ領域専門人材を年間5名以上面談し、うち2名以上の内定承諾に貢献
・AI &amp; Data Practiceの採用計画策定をPracticeリーダーとして主導</t>
        </is>
      </c>
      <c r="AE5" s="150" t="inlineStr">
        <is>
          <t xml:space="preserve">・ターゲットアカウントにおいて、CDOまたはCIOレベルとの四半期ごとの戦略ディスカッションを実施
・生成AI活用やデータ利活用・データガバナンスに関する情報提供セッションを年4回以上実施</t>
        </is>
      </c>
      <c r="AF5" s="150" t="inlineStr">
        <is>
          <t xml:space="preserve">・生成AI/データ活用ニーズを持つ新規クライアント3社へのアプローチをリードし、うち1社でPoCまたはパイロット案件を受注
・Industry Practiceと連携し、AI/データ活用事例を組み込んだクロスセル提案を四半期ごとに実施</t>
        </is>
      </c>
      <c r="AG5" s="150" t="inlineStr">
        <is>
          <t xml:space="preserve">・生成AI・データ分析手法に関する社内勉強会を年2回開催し、ファーム全体のAIリテラシー向上を支援
・プロジェクトにおいて2名以上のメンバーへのOJT指導を実施</t>
        </is>
      </c>
      <c r="AH5" s="150" t="inlineStr">
        <is>
          <t xml:space="preserve">・生成AIまたはデータ利活用に関するホワイトペーパーを年1本発信
・AI/データ関連カンファレンスまたはウェビナーへの登壇を年1回以上実施</t>
        </is>
      </c>
      <c r="AI5" s="71">
        <f>0.5/3</f>
        <v>0.16666666666666666</v>
      </c>
      <c r="AJ5" s="71">
        <f>0.5/3</f>
        <v>0.16666666666666666</v>
      </c>
      <c r="AK5" s="71">
        <f>0.5/3</f>
        <v>0.16666666666666666</v>
      </c>
      <c r="AL5" s="71" t="s">
        <v>214</v>
      </c>
      <c r="AM5" s="71" t="s">
        <v>214</v>
      </c>
      <c r="AN5" s="71">
        <f t="shared" ref="AN5:AP10" si="0">0.25/3</f>
        <v>8.3333333333333329E-2</v>
      </c>
      <c r="AO5" s="71">
        <f t="shared" si="0"/>
        <v>8.3333333333333329E-2</v>
      </c>
      <c r="AP5" s="71">
        <f t="shared" si="0"/>
        <v>8.3333333333333329E-2</v>
      </c>
      <c r="AQ5" s="71">
        <v>0.05</v>
      </c>
      <c r="AR5" s="71">
        <v>0.05</v>
      </c>
      <c r="AS5" s="71">
        <v>0.05</v>
      </c>
      <c r="AT5" s="71">
        <v>0.05</v>
      </c>
      <c r="AU5" s="71">
        <v>0.05</v>
      </c>
      <c r="AV5" s="72">
        <f t="shared" ref="AV5:AV23" si="1">SUM(AI5:AU5)</f>
        <v>1.0000000000000002</v>
      </c>
    </row>
    <row r="6" spans="2:48" ht="25.5" customHeight="1">
      <c r="B6" s="63" t="s">
        <v>150</v>
      </c>
      <c r="C6" s="64">
        <v>46023</v>
      </c>
      <c r="D6" s="65" t="s">
        <v>88</v>
      </c>
      <c r="E6" s="65" t="s">
        <v>52</v>
      </c>
      <c r="F6" s="65" t="s">
        <v>339</v>
      </c>
      <c r="G6" s="66" t="s">
        <v>54</v>
      </c>
      <c r="H6" s="66" t="s">
        <v>54</v>
      </c>
      <c r="I6" s="66" t="s">
        <v>54</v>
      </c>
      <c r="J6" s="66" t="s">
        <v>75</v>
      </c>
      <c r="K6" s="66" t="s">
        <v>55</v>
      </c>
      <c r="L6" s="66">
        <v>12</v>
      </c>
      <c r="M6" s="67">
        <f>SUMIFS(月次バックデータ!$H:$H,月次バックデータ!$B:$B,$B6,月次バックデータ!$E:$E,"グロス売上")</f>
        <v>200</v>
      </c>
      <c r="N6" s="67">
        <f>SUMIFS(月次バックデータ!$I:$I,月次バックデータ!$B:$B,$B6,月次バックデータ!$E:$E,"グロス売上")</f>
        <v>400</v>
      </c>
      <c r="O6" s="67">
        <f>SUMIFS(月次バックデータ!$J:$J,月次バックデータ!$B:$B,$B6,月次バックデータ!$E:$E,"グロス売上")</f>
        <v>600</v>
      </c>
      <c r="P6" s="67">
        <f>SUMIFS(月次バックデータ!$H:$H,月次バックデータ!$B:$B,$B6,月次バックデータ!$E:$E,"Sales Contribution")</f>
        <v>200</v>
      </c>
      <c r="Q6" s="67">
        <f>SUMIFS(月次バックデータ!$I:$I,月次バックデータ!$B:$B,$B6,月次バックデータ!$E:$E,"Sales Contribution")</f>
        <v>400</v>
      </c>
      <c r="R6" s="67">
        <f>SUMIFS(月次バックデータ!$J:$J,月次バックデータ!$B:$B,$B6,月次バックデータ!$E:$E,"Sales Contribution")</f>
        <v>600</v>
      </c>
      <c r="S6" s="67">
        <f>IF(G6="○",VLOOKUP(F6,Practice別!B:O,14,FALSE),"-")</f>
        <v>366</v>
      </c>
      <c r="T6" s="68">
        <v>1</v>
      </c>
      <c r="U6" s="68">
        <v>7.0000000000000007E-2</v>
      </c>
      <c r="V6" s="67">
        <f>ROUND(SUMIFS(月次バックデータ!$M:$M,月次バックデータ!$B:$B,$B6,月次バックデータ!$E:$E,"Sales Contribution"),0)</f>
        <v>317</v>
      </c>
      <c r="W6" s="67">
        <f>$S6/2</f>
        <v>183</v>
      </c>
      <c r="X6" s="67">
        <f t="shared" ref="X6:X24" si="2">IF(W6&gt;V6,W6,V6)</f>
        <v>317</v>
      </c>
      <c r="Y6" s="67">
        <f>V6</f>
        <v>317</v>
      </c>
      <c r="Z6" s="68">
        <v>0.5</v>
      </c>
      <c r="AA6" s="73" t="s">
        <v>152</v>
      </c>
      <c r="AB6" s="74" t="s">
        <v>214</v>
      </c>
      <c r="AC6" s="75">
        <v>1005</v>
      </c>
      <c r="AD6" s="76" t="s">
        <v>372</v>
      </c>
      <c r="AE6" s="70" t="s">
        <v>392</v>
      </c>
      <c r="AF6" s="76" t="s">
        <v>393</v>
      </c>
      <c r="AG6" s="76" t="s">
        <v>394</v>
      </c>
      <c r="AH6" s="76" t="s">
        <v>395</v>
      </c>
      <c r="AI6" s="71">
        <f>0.25/3</f>
        <v>8.3333333333333329E-2</v>
      </c>
      <c r="AJ6" s="71">
        <f>0.25/3</f>
        <v>8.3333333333333329E-2</v>
      </c>
      <c r="AK6" s="71">
        <f>0.25/3</f>
        <v>8.3333333333333329E-2</v>
      </c>
      <c r="AL6" s="71">
        <f>0.25/2</f>
        <v>0.125</v>
      </c>
      <c r="AM6" s="71">
        <f>0.25/2</f>
        <v>0.125</v>
      </c>
      <c r="AN6" s="71">
        <f t="shared" si="0"/>
        <v>8.3333333333333329E-2</v>
      </c>
      <c r="AO6" s="71">
        <f t="shared" si="0"/>
        <v>8.3333333333333329E-2</v>
      </c>
      <c r="AP6" s="71">
        <f t="shared" si="0"/>
        <v>8.3333333333333329E-2</v>
      </c>
      <c r="AQ6" s="71">
        <v>0.05</v>
      </c>
      <c r="AR6" s="71">
        <v>0.05</v>
      </c>
      <c r="AS6" s="71">
        <v>0.05</v>
      </c>
      <c r="AT6" s="71">
        <v>0.05</v>
      </c>
      <c r="AU6" s="71">
        <v>0.05</v>
      </c>
      <c r="AV6" s="72">
        <f t="shared" si="1"/>
        <v>1.0000000000000002</v>
      </c>
    </row>
    <row r="7" spans="2:48" ht="25.5" customHeight="1">
      <c r="B7" s="63" t="s">
        <v>203</v>
      </c>
      <c r="C7" s="64">
        <v>46113</v>
      </c>
      <c r="D7" s="65" t="s">
        <v>88</v>
      </c>
      <c r="E7" s="65" t="s">
        <v>52</v>
      </c>
      <c r="F7" s="65" t="s">
        <v>339</v>
      </c>
      <c r="G7" s="66" t="s">
        <v>214</v>
      </c>
      <c r="H7" s="66" t="s">
        <v>54</v>
      </c>
      <c r="I7" s="66" t="s">
        <v>54</v>
      </c>
      <c r="J7" s="66" t="s">
        <v>75</v>
      </c>
      <c r="K7" s="66" t="s">
        <v>55</v>
      </c>
      <c r="L7" s="66">
        <v>12</v>
      </c>
      <c r="M7" s="77" t="s">
        <v>214</v>
      </c>
      <c r="N7" s="77" t="s">
        <v>214</v>
      </c>
      <c r="O7" s="77" t="s">
        <v>214</v>
      </c>
      <c r="P7" s="67">
        <f>SUMIFS(月次バックデータ!$H:$H,月次バックデータ!$B:$B,$B7,月次バックデータ!$E:$E,"Sales Contribution")</f>
        <v>200</v>
      </c>
      <c r="Q7" s="67">
        <f>SUMIFS(月次バックデータ!$I:$I,月次バックデータ!$B:$B,$B7,月次バックデータ!$E:$E,"Sales Contribution")</f>
        <v>400</v>
      </c>
      <c r="R7" s="67">
        <f>SUMIFS(月次バックデータ!$J:$J,月次バックデータ!$B:$B,$B7,月次バックデータ!$E:$E,"Sales Contribution")</f>
        <v>600</v>
      </c>
      <c r="S7" s="77" t="str">
        <f>IF(G7="○",VLOOKUP(F7,Practice別!B:O,14,FALSE),"-")</f>
        <v>-</v>
      </c>
      <c r="T7" s="77" t="s">
        <v>214</v>
      </c>
      <c r="U7" s="77" t="s">
        <v>214</v>
      </c>
      <c r="V7" s="67">
        <f>ROUND(SUMIFS(月次バックデータ!$M:$M,月次バックデータ!$B:$B,$B7,月次バックデータ!$E:$E,"Sales Contribution"),0)</f>
        <v>267</v>
      </c>
      <c r="W7" s="67">
        <f>$S6/2</f>
        <v>183</v>
      </c>
      <c r="X7" s="67">
        <f t="shared" si="2"/>
        <v>267</v>
      </c>
      <c r="Y7" s="112" t="s">
        <v>336</v>
      </c>
      <c r="Z7" s="112" t="s">
        <v>336</v>
      </c>
      <c r="AA7" s="73" t="s">
        <v>252</v>
      </c>
      <c r="AB7" s="74" t="s">
        <v>214</v>
      </c>
      <c r="AC7" s="75">
        <v>1817</v>
      </c>
      <c r="AD7" s="150" t="inlineStr">
        <is>
          <t xml:space="preserve">・自動車・モビリティ業界の経験者（OEM/サプライヤー出身者、業界コンサルタント等）を年間5名以上面談し、うち2名以上の内定承諾に貢献</t>
        </is>
      </c>
      <c r="AE7" s="150" t="inlineStr">
        <is>
          <t xml:space="preserve">・ターゲットアカウント（トヨタ・日立）において、事業部長または経営企画責任者レベルとの四半期ごとの戦略ディスカッションを実施
・CASE/SDV動向やサプライチェーン再編に関する情報提供セッションを年4回以上実施</t>
        </is>
      </c>
      <c r="AF7" s="150" t="inlineStr">
        <is>
          <t xml:space="preserve">・新規自動車OEM・サプライヤーまたはモビリティ関連企業3社へのアプローチをリードし、うち1社でパイロット案件を受注
・SDV・電動化・モビリティサービス事例を活用した提案活動を四半期ごとに実施</t>
        </is>
      </c>
      <c r="AG7" s="150" t="inlineStr">
        <is>
          <t xml:space="preserve">・自動車業界の事業構造・CASE動向に関する社内勉強会を年2回開催
・プロジェクトにおいて2名以上のメンバーへのOJT指導を実施</t>
        </is>
      </c>
      <c r="AH7" s="150" t="inlineStr">
        <is>
          <t xml:space="preserve">・SDVまたはモビリティ業界の未来戦略に関する論考を年1本発信
・自動車・モビリティ業界セミナーへの登壇を年1回以上実施</t>
        </is>
      </c>
      <c r="AI7" s="71" t="s">
        <v>214</v>
      </c>
      <c r="AJ7" s="71" t="s">
        <v>214</v>
      </c>
      <c r="AK7" s="71" t="s">
        <v>214</v>
      </c>
      <c r="AL7" s="71">
        <f>0.5/2</f>
        <v>0.25</v>
      </c>
      <c r="AM7" s="71">
        <f>0.5/2</f>
        <v>0.25</v>
      </c>
      <c r="AN7" s="71">
        <v>0.25</v>
      </c>
      <c r="AO7" s="112" t="s">
        <v>336</v>
      </c>
      <c r="AP7" s="112" t="s">
        <v>336</v>
      </c>
      <c r="AQ7" s="71">
        <v>0.05</v>
      </c>
      <c r="AR7" s="71">
        <v>0.05</v>
      </c>
      <c r="AS7" s="71">
        <v>0.05</v>
      </c>
      <c r="AT7" s="71">
        <v>0.05</v>
      </c>
      <c r="AU7" s="71">
        <v>0.05</v>
      </c>
      <c r="AV7" s="72">
        <f t="shared" si="1"/>
        <v>1.0000000000000002</v>
      </c>
    </row>
    <row r="8" spans="2:48" ht="25.5" customHeight="1">
      <c r="B8" s="63" t="s">
        <v>138</v>
      </c>
      <c r="C8" s="64">
        <v>45931</v>
      </c>
      <c r="D8" s="65" t="s">
        <v>88</v>
      </c>
      <c r="E8" s="65" t="s">
        <v>52</v>
      </c>
      <c r="F8" s="65" t="s">
        <v>253</v>
      </c>
      <c r="G8" s="66" t="s">
        <v>54</v>
      </c>
      <c r="H8" s="66" t="s">
        <v>54</v>
      </c>
      <c r="I8" s="66" t="s">
        <v>54</v>
      </c>
      <c r="J8" s="66" t="s">
        <v>75</v>
      </c>
      <c r="K8" s="66" t="s">
        <v>55</v>
      </c>
      <c r="L8" s="66">
        <v>12</v>
      </c>
      <c r="M8" s="67">
        <f>SUMIFS(月次バックデータ!$H:$H,月次バックデータ!$B:$B,$B8,月次バックデータ!$E:$E,"グロス売上")</f>
        <v>50</v>
      </c>
      <c r="N8" s="67">
        <f>SUMIFS(月次バックデータ!$I:$I,月次バックデータ!$B:$B,$B8,月次バックデータ!$E:$E,"グロス売上")</f>
        <v>150</v>
      </c>
      <c r="O8" s="67">
        <f>SUMIFS(月次バックデータ!$J:$J,月次バックデータ!$B:$B,$B8,月次バックデータ!$E:$E,"グロス売上")</f>
        <v>250</v>
      </c>
      <c r="P8" s="67">
        <f>SUMIFS(月次バックデータ!$H:$H,月次バックデータ!$B:$B,$B8,月次バックデータ!$E:$E,"Sales Contribution")</f>
        <v>150</v>
      </c>
      <c r="Q8" s="67">
        <f>SUMIFS(月次バックデータ!$I:$I,月次バックデータ!$B:$B,$B8,月次バックデータ!$E:$E,"Sales Contribution")</f>
        <v>300</v>
      </c>
      <c r="R8" s="67">
        <f>SUMIFS(月次バックデータ!$J:$J,月次バックデータ!$B:$B,$B8,月次バックデータ!$E:$E,"Sales Contribution")</f>
        <v>400</v>
      </c>
      <c r="S8" s="67">
        <f>IF(G8="○",VLOOKUP(F8,Practice別!B:O,14,FALSE),"-")</f>
        <v>365</v>
      </c>
      <c r="T8" s="68">
        <v>1</v>
      </c>
      <c r="U8" s="68">
        <v>7.0000000000000007E-2</v>
      </c>
      <c r="V8" s="67">
        <f>ROUND(SUMIFS(月次バックデータ!$M:$M,月次バックデータ!$B:$B,$B8,月次バックデータ!$E:$E,"Sales Contribution"),0)</f>
        <v>275</v>
      </c>
      <c r="W8" s="67">
        <f>$S8</f>
        <v>365</v>
      </c>
      <c r="X8" s="67">
        <f t="shared" si="2"/>
        <v>365</v>
      </c>
      <c r="Y8" s="67">
        <f>V8</f>
        <v>275</v>
      </c>
      <c r="Z8" s="68">
        <v>0.5</v>
      </c>
      <c r="AA8" s="73" t="s">
        <v>254</v>
      </c>
      <c r="AB8" s="74" t="s">
        <v>214</v>
      </c>
      <c r="AC8" s="75">
        <v>252</v>
      </c>
      <c r="AD8" s="76" t="s">
        <v>387</v>
      </c>
      <c r="AE8" s="70" t="s">
        <v>388</v>
      </c>
      <c r="AF8" s="76" t="s">
        <v>389</v>
      </c>
      <c r="AG8" s="76" t="s">
        <v>390</v>
      </c>
      <c r="AH8" s="76" t="s">
        <v>391</v>
      </c>
      <c r="AI8" s="71">
        <f t="shared" ref="AI8:AK10" si="3">0.25/3</f>
        <v>8.3333333333333329E-2</v>
      </c>
      <c r="AJ8" s="71">
        <f t="shared" si="3"/>
        <v>8.3333333333333329E-2</v>
      </c>
      <c r="AK8" s="71">
        <f t="shared" si="3"/>
        <v>8.3333333333333329E-2</v>
      </c>
      <c r="AL8" s="71">
        <f t="shared" ref="AL8:AM10" si="4">0.25/2</f>
        <v>0.125</v>
      </c>
      <c r="AM8" s="71">
        <f t="shared" si="4"/>
        <v>0.125</v>
      </c>
      <c r="AN8" s="71">
        <f t="shared" si="0"/>
        <v>8.3333333333333329E-2</v>
      </c>
      <c r="AO8" s="71">
        <f t="shared" si="0"/>
        <v>8.3333333333333329E-2</v>
      </c>
      <c r="AP8" s="71">
        <f t="shared" si="0"/>
        <v>8.3333333333333329E-2</v>
      </c>
      <c r="AQ8" s="71">
        <v>0.05</v>
      </c>
      <c r="AR8" s="71">
        <v>0.05</v>
      </c>
      <c r="AS8" s="71">
        <v>0.05</v>
      </c>
      <c r="AT8" s="71">
        <v>0.05</v>
      </c>
      <c r="AU8" s="71">
        <v>0.05</v>
      </c>
      <c r="AV8" s="72">
        <f t="shared" si="1"/>
        <v>1.0000000000000002</v>
      </c>
    </row>
    <row r="9" spans="2:48" ht="25.5" customHeight="1">
      <c r="B9" s="63" t="s">
        <v>126</v>
      </c>
      <c r="C9" s="64">
        <v>45992</v>
      </c>
      <c r="D9" s="65" t="s">
        <v>88</v>
      </c>
      <c r="E9" s="65" t="s">
        <v>52</v>
      </c>
      <c r="F9" s="65" t="s">
        <v>340</v>
      </c>
      <c r="G9" s="66" t="s">
        <v>54</v>
      </c>
      <c r="H9" s="66" t="s">
        <v>54</v>
      </c>
      <c r="I9" s="66" t="s">
        <v>54</v>
      </c>
      <c r="J9" s="66" t="s">
        <v>75</v>
      </c>
      <c r="K9" s="66" t="s">
        <v>55</v>
      </c>
      <c r="L9" s="66">
        <v>12</v>
      </c>
      <c r="M9" s="67">
        <f>SUMIFS(月次バックデータ!$H:$H,月次バックデータ!$B:$B,$B9,月次バックデータ!$E:$E,"グロス売上")</f>
        <v>330</v>
      </c>
      <c r="N9" s="67">
        <f>SUMIFS(月次バックデータ!$I:$I,月次バックデータ!$B:$B,$B9,月次バックデータ!$E:$E,"グロス売上")</f>
        <v>660</v>
      </c>
      <c r="O9" s="67">
        <f>SUMIFS(月次バックデータ!$J:$J,月次バックデータ!$B:$B,$B9,月次バックデータ!$E:$E,"グロス売上")</f>
        <v>1126</v>
      </c>
      <c r="P9" s="67">
        <f>SUMIFS(月次バックデータ!$H:$H,月次バックデータ!$B:$B,$B9,月次バックデータ!$E:$E,"Sales Contribution")</f>
        <v>330</v>
      </c>
      <c r="Q9" s="67">
        <f>SUMIFS(月次バックデータ!$I:$I,月次バックデータ!$B:$B,$B9,月次バックデータ!$E:$E,"Sales Contribution")</f>
        <v>462</v>
      </c>
      <c r="R9" s="67">
        <f>SUMIFS(月次バックデータ!$J:$J,月次バックデータ!$B:$B,$B9,月次バックデータ!$E:$E,"Sales Contribution")</f>
        <v>704</v>
      </c>
      <c r="S9" s="67">
        <f>IF(G9="○",VLOOKUP(F9,Practice別!B:O,14,FALSE),"-")</f>
        <v>312</v>
      </c>
      <c r="T9" s="68">
        <v>1</v>
      </c>
      <c r="U9" s="68">
        <v>7.0000000000000007E-2</v>
      </c>
      <c r="V9" s="67">
        <f>ROUND(SUMIFS(月次バックデータ!$M:$M,月次バックデータ!$B:$B,$B9,月次バックデータ!$E:$E,"Sales Contribution"),0)</f>
        <v>462</v>
      </c>
      <c r="W9" s="67">
        <f>$S9</f>
        <v>312</v>
      </c>
      <c r="X9" s="67">
        <f t="shared" si="2"/>
        <v>462</v>
      </c>
      <c r="Y9" s="67">
        <f>V9</f>
        <v>462</v>
      </c>
      <c r="Z9" s="68">
        <v>0.5</v>
      </c>
      <c r="AA9" s="73" t="s">
        <v>260</v>
      </c>
      <c r="AB9" s="74" t="s">
        <v>214</v>
      </c>
      <c r="AC9" s="75">
        <v>332</v>
      </c>
      <c r="AD9" s="76" t="s">
        <v>382</v>
      </c>
      <c r="AE9" s="76" t="s">
        <v>383</v>
      </c>
      <c r="AF9" s="76" t="s">
        <v>384</v>
      </c>
      <c r="AG9" s="76" t="s">
        <v>385</v>
      </c>
      <c r="AH9" s="76" t="s">
        <v>386</v>
      </c>
      <c r="AI9" s="71">
        <f t="shared" si="3"/>
        <v>8.3333333333333329E-2</v>
      </c>
      <c r="AJ9" s="71">
        <f t="shared" si="3"/>
        <v>8.3333333333333329E-2</v>
      </c>
      <c r="AK9" s="71">
        <f t="shared" si="3"/>
        <v>8.3333333333333329E-2</v>
      </c>
      <c r="AL9" s="71">
        <f t="shared" si="4"/>
        <v>0.125</v>
      </c>
      <c r="AM9" s="71">
        <f t="shared" si="4"/>
        <v>0.125</v>
      </c>
      <c r="AN9" s="71">
        <f t="shared" si="0"/>
        <v>8.3333333333333329E-2</v>
      </c>
      <c r="AO9" s="71">
        <f t="shared" si="0"/>
        <v>8.3333333333333329E-2</v>
      </c>
      <c r="AP9" s="71">
        <f t="shared" si="0"/>
        <v>8.3333333333333329E-2</v>
      </c>
      <c r="AQ9" s="71">
        <v>0.05</v>
      </c>
      <c r="AR9" s="71">
        <v>0.05</v>
      </c>
      <c r="AS9" s="71">
        <v>0.05</v>
      </c>
      <c r="AT9" s="71">
        <v>0.05</v>
      </c>
      <c r="AU9" s="71">
        <v>0.05</v>
      </c>
      <c r="AV9" s="72">
        <f t="shared" si="1"/>
        <v>1.0000000000000002</v>
      </c>
    </row>
    <row r="10" spans="2:48" ht="25.5" customHeight="1">
      <c r="B10" s="63" t="s">
        <v>172</v>
      </c>
      <c r="C10" s="64">
        <v>45778</v>
      </c>
      <c r="D10" s="65" t="s">
        <v>51</v>
      </c>
      <c r="E10" s="65" t="s">
        <v>173</v>
      </c>
      <c r="F10" s="65" t="s">
        <v>174</v>
      </c>
      <c r="G10" s="66" t="s">
        <v>54</v>
      </c>
      <c r="H10" s="66" t="s">
        <v>54</v>
      </c>
      <c r="I10" s="66" t="s">
        <v>54</v>
      </c>
      <c r="J10" s="66" t="s">
        <v>55</v>
      </c>
      <c r="K10" s="66" t="s">
        <v>55</v>
      </c>
      <c r="L10" s="66">
        <v>12</v>
      </c>
      <c r="M10" s="67">
        <f>SUMIFS(月次バックデータ!$H:$H,月次バックデータ!$B:$B,$B10,月次バックデータ!$E:$E,"グロス売上")</f>
        <v>209</v>
      </c>
      <c r="N10" s="67">
        <f>SUMIFS(月次バックデータ!$I:$I,月次バックデータ!$B:$B,$B10,月次バックデータ!$E:$E,"グロス売上")</f>
        <v>401</v>
      </c>
      <c r="O10" s="67">
        <f>SUMIFS(月次バックデータ!$J:$J,月次バックデータ!$B:$B,$B10,月次バックデータ!$E:$E,"グロス売上")</f>
        <v>506</v>
      </c>
      <c r="P10" s="67">
        <f>SUMIFS(月次バックデータ!$H:$H,月次バックデータ!$B:$B,$B10,月次バックデータ!$E:$E,"Sales Contribution")</f>
        <v>209</v>
      </c>
      <c r="Q10" s="67">
        <f>SUMIFS(月次バックデータ!$I:$I,月次バックデータ!$B:$B,$B10,月次バックデータ!$E:$E,"Sales Contribution")</f>
        <v>401</v>
      </c>
      <c r="R10" s="67">
        <f>SUMIFS(月次バックデータ!$J:$J,月次バックデータ!$B:$B,$B10,月次バックデータ!$E:$E,"Sales Contribution")</f>
        <v>506</v>
      </c>
      <c r="S10" s="67">
        <f>IF(G10="○",VLOOKUP(F10,Practice別!B:O,14,FALSE),"-")</f>
        <v>546</v>
      </c>
      <c r="T10" s="68">
        <v>1</v>
      </c>
      <c r="U10" s="68">
        <v>7.0000000000000007E-2</v>
      </c>
      <c r="V10" s="67">
        <f>ROUND(SUMIFS(月次バックデータ!$M:$M,月次バックデータ!$B:$B,$B10,月次バックデータ!$E:$E,"Sales Contribution"),0)</f>
        <v>427</v>
      </c>
      <c r="W10" s="67">
        <f>$S10</f>
        <v>546</v>
      </c>
      <c r="X10" s="67">
        <f t="shared" si="2"/>
        <v>546</v>
      </c>
      <c r="Y10" s="67">
        <f>V10</f>
        <v>427</v>
      </c>
      <c r="Z10" s="68">
        <v>0.4</v>
      </c>
      <c r="AA10" s="73" t="s">
        <v>264</v>
      </c>
      <c r="AB10" s="74" t="s">
        <v>214</v>
      </c>
      <c r="AC10" s="75">
        <v>125</v>
      </c>
      <c r="AD10" s="76" t="s">
        <v>400</v>
      </c>
      <c r="AE10" s="70" t="s">
        <v>401</v>
      </c>
      <c r="AF10" s="76" t="s">
        <v>402</v>
      </c>
      <c r="AG10" s="76" t="s">
        <v>403</v>
      </c>
      <c r="AH10" s="76" t="s">
        <v>404</v>
      </c>
      <c r="AI10" s="71">
        <f t="shared" si="3"/>
        <v>8.3333333333333329E-2</v>
      </c>
      <c r="AJ10" s="71">
        <f t="shared" si="3"/>
        <v>8.3333333333333329E-2</v>
      </c>
      <c r="AK10" s="71">
        <f t="shared" si="3"/>
        <v>8.3333333333333329E-2</v>
      </c>
      <c r="AL10" s="71">
        <f t="shared" si="4"/>
        <v>0.125</v>
      </c>
      <c r="AM10" s="71">
        <f t="shared" si="4"/>
        <v>0.125</v>
      </c>
      <c r="AN10" s="71">
        <f t="shared" si="0"/>
        <v>8.3333333333333329E-2</v>
      </c>
      <c r="AO10" s="71">
        <f t="shared" si="0"/>
        <v>8.3333333333333329E-2</v>
      </c>
      <c r="AP10" s="71">
        <f t="shared" si="0"/>
        <v>8.3333333333333329E-2</v>
      </c>
      <c r="AQ10" s="71">
        <v>0.05</v>
      </c>
      <c r="AR10" s="71">
        <v>0.05</v>
      </c>
      <c r="AS10" s="71">
        <v>0.05</v>
      </c>
      <c r="AT10" s="71">
        <v>0.05</v>
      </c>
      <c r="AU10" s="71">
        <v>0.05</v>
      </c>
      <c r="AV10" s="72">
        <f t="shared" si="1"/>
        <v>1.0000000000000002</v>
      </c>
    </row>
    <row r="11" spans="2:48" ht="25.5" hidden="1" customHeight="1" outlineLevel="1">
      <c r="B11" s="103" t="s">
        <v>186</v>
      </c>
      <c r="C11" s="104">
        <v>46023</v>
      </c>
      <c r="D11" s="105" t="s">
        <v>88</v>
      </c>
      <c r="E11" s="105" t="s">
        <v>173</v>
      </c>
      <c r="F11" s="105" t="s">
        <v>174</v>
      </c>
      <c r="G11" s="106" t="s">
        <v>214</v>
      </c>
      <c r="H11" s="106" t="s">
        <v>214</v>
      </c>
      <c r="I11" s="106" t="s">
        <v>54</v>
      </c>
      <c r="J11" s="106" t="s">
        <v>75</v>
      </c>
      <c r="K11" s="106" t="s">
        <v>75</v>
      </c>
      <c r="L11" s="106">
        <v>12</v>
      </c>
      <c r="M11" s="107" t="s">
        <v>214</v>
      </c>
      <c r="N11" s="107" t="s">
        <v>214</v>
      </c>
      <c r="O11" s="107" t="s">
        <v>214</v>
      </c>
      <c r="P11" s="108" t="s">
        <v>336</v>
      </c>
      <c r="Q11" s="108" t="s">
        <v>336</v>
      </c>
      <c r="R11" s="108" t="s">
        <v>336</v>
      </c>
      <c r="S11" s="107" t="str">
        <f>IF(G11="○",VLOOKUP(F11,Practice別!B:O,14,FALSE),"-")</f>
        <v>-</v>
      </c>
      <c r="T11" s="107" t="s">
        <v>214</v>
      </c>
      <c r="U11" s="107" t="s">
        <v>214</v>
      </c>
      <c r="V11" s="108" t="s">
        <v>336</v>
      </c>
      <c r="W11" s="108" t="s">
        <v>336</v>
      </c>
      <c r="X11" s="108" t="str">
        <f t="shared" si="2"/>
        <v>-</v>
      </c>
      <c r="Y11" s="108" t="s">
        <v>336</v>
      </c>
      <c r="Z11" s="109" t="s">
        <v>336</v>
      </c>
      <c r="AA11" s="110" t="s">
        <v>214</v>
      </c>
      <c r="AB11" s="110" t="s">
        <v>214</v>
      </c>
      <c r="AC11" s="110" t="s">
        <v>214</v>
      </c>
      <c r="AD11" s="105" t="s">
        <v>353</v>
      </c>
      <c r="AE11" s="105" t="s">
        <v>353</v>
      </c>
      <c r="AF11" s="105" t="s">
        <v>353</v>
      </c>
      <c r="AG11" s="105" t="s">
        <v>353</v>
      </c>
      <c r="AH11" s="105" t="s">
        <v>353</v>
      </c>
      <c r="AI11" s="102" t="s">
        <v>214</v>
      </c>
      <c r="AJ11" s="102" t="s">
        <v>214</v>
      </c>
      <c r="AK11" s="102" t="s">
        <v>214</v>
      </c>
      <c r="AL11" s="102" t="s">
        <v>214</v>
      </c>
      <c r="AM11" s="102" t="s">
        <v>214</v>
      </c>
      <c r="AN11" s="102">
        <f>0.75/3</f>
        <v>0.25</v>
      </c>
      <c r="AO11" s="102">
        <f>0.75/3</f>
        <v>0.25</v>
      </c>
      <c r="AP11" s="102">
        <f>0.75/3</f>
        <v>0.25</v>
      </c>
      <c r="AQ11" s="102">
        <v>0.05</v>
      </c>
      <c r="AR11" s="102">
        <v>0.05</v>
      </c>
      <c r="AS11" s="102">
        <v>0.05</v>
      </c>
      <c r="AT11" s="102">
        <v>0.05</v>
      </c>
      <c r="AU11" s="102">
        <v>0.05</v>
      </c>
      <c r="AV11" s="111">
        <f t="shared" si="1"/>
        <v>1.0000000000000002</v>
      </c>
    </row>
    <row r="12" spans="2:48" ht="25.5" customHeight="1" collapsed="1">
      <c r="B12" s="63" t="s">
        <v>187</v>
      </c>
      <c r="C12" s="64">
        <v>45931</v>
      </c>
      <c r="D12" s="65" t="s">
        <v>51</v>
      </c>
      <c r="E12" s="65" t="s">
        <v>173</v>
      </c>
      <c r="F12" s="65" t="s">
        <v>338</v>
      </c>
      <c r="G12" s="66" t="s">
        <v>54</v>
      </c>
      <c r="H12" s="66" t="s">
        <v>214</v>
      </c>
      <c r="I12" s="66" t="s">
        <v>54</v>
      </c>
      <c r="J12" s="66" t="s">
        <v>75</v>
      </c>
      <c r="K12" s="66" t="s">
        <v>55</v>
      </c>
      <c r="L12" s="66">
        <v>12</v>
      </c>
      <c r="M12" s="67">
        <f>SUMIFS(月次バックデータ!$H:$H,月次バックデータ!$B:$B,$B12,月次バックデータ!$E:$E,"グロス売上")</f>
        <v>200</v>
      </c>
      <c r="N12" s="67">
        <f>SUMIFS(月次バックデータ!$I:$I,月次バックデータ!$B:$B,$B12,月次バックデータ!$E:$E,"グロス売上")</f>
        <v>600</v>
      </c>
      <c r="O12" s="67">
        <f>SUMIFS(月次バックデータ!$J:$J,月次バックデータ!$B:$B,$B12,月次バックデータ!$E:$E,"グロス売上")</f>
        <v>1100</v>
      </c>
      <c r="P12" s="67">
        <f>SUMIFS(月次バックデータ!$H:$H,月次バックデータ!$B:$B,$B12,月次バックデータ!$E:$E,"Sales Contribution")</f>
        <v>200</v>
      </c>
      <c r="Q12" s="67">
        <f>SUMIFS(月次バックデータ!$I:$I,月次バックデータ!$B:$B,$B12,月次バックデータ!$E:$E,"Sales Contribution")</f>
        <v>400</v>
      </c>
      <c r="R12" s="67">
        <f>SUMIFS(月次バックデータ!$J:$J,月次バックデータ!$B:$B,$B12,月次バックデータ!$E:$E,"Sales Contribution")</f>
        <v>600</v>
      </c>
      <c r="S12" s="67">
        <f>IF(G12="○",VLOOKUP(F12,Practice別!B:O,14,FALSE),"-")</f>
        <v>500</v>
      </c>
      <c r="T12" s="68">
        <v>1</v>
      </c>
      <c r="U12" s="68">
        <v>7.0000000000000007E-2</v>
      </c>
      <c r="V12" s="67">
        <f>ROUND(SUMIFS(月次バックデータ!$M:$M,月次バックデータ!$B:$B,$B12,月次バックデータ!$E:$E,"Sales Contribution"),0)</f>
        <v>367</v>
      </c>
      <c r="W12" s="67">
        <f>$S12</f>
        <v>500</v>
      </c>
      <c r="X12" s="67">
        <f t="shared" si="2"/>
        <v>500</v>
      </c>
      <c r="Y12" s="67">
        <f>V12</f>
        <v>367</v>
      </c>
      <c r="Z12" s="68">
        <v>0.4</v>
      </c>
      <c r="AA12" s="69" t="s">
        <v>214</v>
      </c>
      <c r="AB12" s="69" t="s">
        <v>214</v>
      </c>
      <c r="AC12" s="69" t="s">
        <v>214</v>
      </c>
      <c r="AD12" s="76" t="s">
        <v>405</v>
      </c>
      <c r="AE12" s="76" t="s">
        <v>406</v>
      </c>
      <c r="AF12" s="76" t="s">
        <v>407</v>
      </c>
      <c r="AG12" s="76" t="s">
        <v>408</v>
      </c>
      <c r="AH12" s="76" t="s">
        <v>409</v>
      </c>
      <c r="AI12" s="71">
        <f>0.5/3</f>
        <v>0.16666666666666666</v>
      </c>
      <c r="AJ12" s="71">
        <f>0.5/3</f>
        <v>0.16666666666666666</v>
      </c>
      <c r="AK12" s="71">
        <f>0.5/3</f>
        <v>0.16666666666666666</v>
      </c>
      <c r="AL12" s="71" t="s">
        <v>214</v>
      </c>
      <c r="AM12" s="71" t="s">
        <v>214</v>
      </c>
      <c r="AN12" s="71">
        <f t="shared" ref="AN12:AP19" si="5">0.25/3</f>
        <v>8.3333333333333329E-2</v>
      </c>
      <c r="AO12" s="71">
        <f t="shared" si="5"/>
        <v>8.3333333333333329E-2</v>
      </c>
      <c r="AP12" s="71">
        <f t="shared" si="5"/>
        <v>8.3333333333333329E-2</v>
      </c>
      <c r="AQ12" s="71">
        <v>0.05</v>
      </c>
      <c r="AR12" s="71">
        <v>0.05</v>
      </c>
      <c r="AS12" s="71">
        <v>0.05</v>
      </c>
      <c r="AT12" s="71">
        <v>0.05</v>
      </c>
      <c r="AU12" s="71">
        <v>0.05</v>
      </c>
      <c r="AV12" s="72">
        <f t="shared" si="1"/>
        <v>1.0000000000000002</v>
      </c>
    </row>
    <row r="13" spans="2:48" ht="25.5" customHeight="1">
      <c r="B13" s="63" t="s">
        <v>101</v>
      </c>
      <c r="C13" s="64">
        <v>45748</v>
      </c>
      <c r="D13" s="65" t="s">
        <v>88</v>
      </c>
      <c r="E13" s="65" t="s">
        <v>52</v>
      </c>
      <c r="F13" s="65" t="s">
        <v>337</v>
      </c>
      <c r="G13" s="66" t="s">
        <v>54</v>
      </c>
      <c r="H13" s="66" t="s">
        <v>54</v>
      </c>
      <c r="I13" s="66" t="s">
        <v>54</v>
      </c>
      <c r="J13" s="66" t="s">
        <v>55</v>
      </c>
      <c r="K13" s="66" t="s">
        <v>55</v>
      </c>
      <c r="L13" s="66">
        <v>12</v>
      </c>
      <c r="M13" s="67">
        <f>SUMIFS(月次バックデータ!$H:$H,月次バックデータ!$B:$B,$B13,月次バックデータ!$E:$E,"グロス売上")</f>
        <v>200</v>
      </c>
      <c r="N13" s="67">
        <f>SUMIFS(月次バックデータ!$I:$I,月次バックデータ!$B:$B,$B13,月次バックデータ!$E:$E,"グロス売上")</f>
        <v>400</v>
      </c>
      <c r="O13" s="67">
        <f>SUMIFS(月次バックデータ!$J:$J,月次バックデータ!$B:$B,$B13,月次バックデータ!$E:$E,"グロス売上")</f>
        <v>600</v>
      </c>
      <c r="P13" s="67">
        <f>SUMIFS(月次バックデータ!$H:$H,月次バックデータ!$B:$B,$B13,月次バックデータ!$E:$E,"Sales Contribution")</f>
        <v>200</v>
      </c>
      <c r="Q13" s="67">
        <f>SUMIFS(月次バックデータ!$I:$I,月次バックデータ!$B:$B,$B13,月次バックデータ!$E:$E,"Sales Contribution")</f>
        <v>400</v>
      </c>
      <c r="R13" s="67">
        <f>SUMIFS(月次バックデータ!$J:$J,月次バックデータ!$B:$B,$B13,月次バックデータ!$E:$E,"Sales Contribution")</f>
        <v>600</v>
      </c>
      <c r="S13" s="67">
        <f>IF(G13="○",VLOOKUP(F13,Practice別!B:O,14,FALSE),"-")</f>
        <v>600</v>
      </c>
      <c r="T13" s="68">
        <v>1</v>
      </c>
      <c r="U13" s="68">
        <v>7.0000000000000007E-2</v>
      </c>
      <c r="V13" s="67">
        <f>ROUND(SUMIFS(月次バックデータ!$M:$M,月次バックデータ!$B:$B,$B13,月次バックデータ!$E:$E,"Sales Contribution"),0)</f>
        <v>467</v>
      </c>
      <c r="W13" s="67">
        <f>$S13</f>
        <v>600</v>
      </c>
      <c r="X13" s="67">
        <f t="shared" si="2"/>
        <v>600</v>
      </c>
      <c r="Y13" s="67">
        <f>V13</f>
        <v>467</v>
      </c>
      <c r="Z13" s="68">
        <v>0.5</v>
      </c>
      <c r="AA13" s="73" t="s">
        <v>275</v>
      </c>
      <c r="AB13" s="74" t="s">
        <v>214</v>
      </c>
      <c r="AC13" s="75">
        <v>400</v>
      </c>
      <c r="AD13" s="76" t="s">
        <v>372</v>
      </c>
      <c r="AE13" s="76" t="s">
        <v>373</v>
      </c>
      <c r="AF13" s="76" t="s">
        <v>374</v>
      </c>
      <c r="AG13" s="76" t="s">
        <v>375</v>
      </c>
      <c r="AH13" s="76" t="s">
        <v>376</v>
      </c>
      <c r="AI13" s="71">
        <f t="shared" ref="AI13:AK14" si="6">0.25/3</f>
        <v>8.3333333333333329E-2</v>
      </c>
      <c r="AJ13" s="71">
        <f t="shared" si="6"/>
        <v>8.3333333333333329E-2</v>
      </c>
      <c r="AK13" s="71">
        <f t="shared" si="6"/>
        <v>8.3333333333333329E-2</v>
      </c>
      <c r="AL13" s="71">
        <f>0.25/2</f>
        <v>0.125</v>
      </c>
      <c r="AM13" s="71">
        <f>0.25/2</f>
        <v>0.125</v>
      </c>
      <c r="AN13" s="71">
        <f t="shared" si="5"/>
        <v>8.3333333333333329E-2</v>
      </c>
      <c r="AO13" s="71">
        <f t="shared" si="5"/>
        <v>8.3333333333333329E-2</v>
      </c>
      <c r="AP13" s="71">
        <f t="shared" si="5"/>
        <v>8.3333333333333329E-2</v>
      </c>
      <c r="AQ13" s="71">
        <v>0.05</v>
      </c>
      <c r="AR13" s="71">
        <v>0.05</v>
      </c>
      <c r="AS13" s="71">
        <v>0.05</v>
      </c>
      <c r="AT13" s="71">
        <v>0.05</v>
      </c>
      <c r="AU13" s="71">
        <v>0.05</v>
      </c>
      <c r="AV13" s="72">
        <f t="shared" si="1"/>
        <v>1.0000000000000002</v>
      </c>
    </row>
    <row r="14" spans="2:48" ht="25.5" customHeight="1">
      <c r="B14" s="63" t="s">
        <v>204</v>
      </c>
      <c r="C14" s="64">
        <v>46143</v>
      </c>
      <c r="D14" s="65" t="s">
        <v>51</v>
      </c>
      <c r="E14" s="65" t="s">
        <v>52</v>
      </c>
      <c r="F14" s="65" t="s">
        <v>161</v>
      </c>
      <c r="G14" s="66" t="s">
        <v>54</v>
      </c>
      <c r="H14" s="66" t="s">
        <v>54</v>
      </c>
      <c r="I14" s="66" t="s">
        <v>54</v>
      </c>
      <c r="J14" s="66" t="s">
        <v>75</v>
      </c>
      <c r="K14" s="66" t="s">
        <v>55</v>
      </c>
      <c r="L14" s="66">
        <v>12</v>
      </c>
      <c r="M14" s="67">
        <f>SUMIFS(月次バックデータ!$H:$H,月次バックデータ!$B:$B,$B14,月次バックデータ!$E:$E,"グロス売上")</f>
        <v>200</v>
      </c>
      <c r="N14" s="67">
        <f>SUMIFS(月次バックデータ!$I:$I,月次バックデータ!$B:$B,$B14,月次バックデータ!$E:$E,"グロス売上")</f>
        <v>400</v>
      </c>
      <c r="O14" s="67">
        <f>SUMIFS(月次バックデータ!$J:$J,月次バックデータ!$B:$B,$B14,月次バックデータ!$E:$E,"グロス売上")</f>
        <v>600</v>
      </c>
      <c r="P14" s="67">
        <f>SUMIFS(月次バックデータ!$H:$H,月次バックデータ!$B:$B,$B14,月次バックデータ!$E:$E,"Sales Contribution")</f>
        <v>200</v>
      </c>
      <c r="Q14" s="67">
        <f>SUMIFS(月次バックデータ!$I:$I,月次バックデータ!$B:$B,$B14,月次バックデータ!$E:$E,"Sales Contribution")</f>
        <v>400</v>
      </c>
      <c r="R14" s="67">
        <f>SUMIFS(月次バックデータ!$J:$J,月次バックデータ!$B:$B,$B14,月次バックデータ!$E:$E,"Sales Contribution")</f>
        <v>600</v>
      </c>
      <c r="S14" s="67">
        <f>IF(G14="○",VLOOKUP(F14,Practice別!B:O,14,FALSE),"-")</f>
        <v>1440</v>
      </c>
      <c r="T14" s="68">
        <v>1</v>
      </c>
      <c r="U14" s="68">
        <v>7.0000000000000007E-2</v>
      </c>
      <c r="V14" s="67">
        <f>ROUND(SUMIFS(月次バックデータ!$M:$M,月次バックデータ!$B:$B,$B14,月次バックデータ!$E:$E,"Sales Contribution"),0)</f>
        <v>250</v>
      </c>
      <c r="W14" s="67">
        <f>$S14/18*6</f>
        <v>480</v>
      </c>
      <c r="X14" s="67">
        <f t="shared" si="2"/>
        <v>480</v>
      </c>
      <c r="Y14" s="67">
        <f>V14</f>
        <v>250</v>
      </c>
      <c r="Z14" s="68">
        <v>0.4</v>
      </c>
      <c r="AA14" s="73" t="s">
        <v>280</v>
      </c>
      <c r="AB14" s="74" t="s">
        <v>214</v>
      </c>
      <c r="AC14" s="75">
        <v>296</v>
      </c>
      <c r="AD14" s="150" t="inlineStr">
        <is>
          <t xml:space="preserve">・官公庁・公共セクター経験者（官公庁出身者、公共系コンサルタント等）を年間7名以上面談し、うち3名以上の内定承諾に貢献
・公共セクター向けキャリアセミナーまたは採用イベントに2回以上参画</t>
        </is>
      </c>
      <c r="AE14" s="150" t="inlineStr">
        <is>
          <t xml:space="preserve">・既存クライアント（国税庁・協会けんぽ）含む3機関において、局長・部長または理事レベルとの四半期ごとの戦略対話を主導
・行政DX、税務・社会保険行政のデジタル化、ガバメントクラウド等に関する情報提供セッションを年6回以上実施</t>
        </is>
      </c>
      <c r="AF14" s="150" t="inlineStr">
        <is>
          <t xml:space="preserve">・新規中央省庁・独立行政法人・自治体4機関へのアプローチをリードし、うち2機関で案件を受注
・政策動向を踏まえた入札案件の早期把握と事前提案（RFI対応・企画提案）を実施</t>
        </is>
      </c>
      <c r="AG14" s="150" t="inlineStr">
        <is>
          <t xml:space="preserve">・官公庁ビジネス（調達・入札プロセス、政策立案支援）に関する社内トレーニングを年3回開催
・Practice内メンバー3名以上に対する定期的なメンタリングとフィードバックを実施</t>
        </is>
      </c>
      <c r="AH14" s="150" t="inlineStr">
        <is>
          <t xml:space="preserve">・行政DXまたは公共サービス改革に関するホワイトペーパーを年2本発信
・公共政策フォーラムまたは官公庁向けセミナーへの登壇を年2回以上実施し、Practice Leaderとしてのプレゼンスを確立</t>
        </is>
      </c>
      <c r="AI14" s="71">
        <f t="shared" si="6"/>
        <v>8.3333333333333329E-2</v>
      </c>
      <c r="AJ14" s="71">
        <f t="shared" si="6"/>
        <v>8.3333333333333329E-2</v>
      </c>
      <c r="AK14" s="71">
        <f t="shared" si="6"/>
        <v>8.3333333333333329E-2</v>
      </c>
      <c r="AL14" s="71">
        <f>0.25/2</f>
        <v>0.125</v>
      </c>
      <c r="AM14" s="71">
        <f>0.25/2</f>
        <v>0.125</v>
      </c>
      <c r="AN14" s="71">
        <f t="shared" si="5"/>
        <v>8.3333333333333329E-2</v>
      </c>
      <c r="AO14" s="71">
        <f t="shared" si="5"/>
        <v>8.3333333333333329E-2</v>
      </c>
      <c r="AP14" s="71">
        <f t="shared" si="5"/>
        <v>8.3333333333333329E-2</v>
      </c>
      <c r="AQ14" s="71">
        <v>0.05</v>
      </c>
      <c r="AR14" s="71">
        <v>0.05</v>
      </c>
      <c r="AS14" s="71">
        <v>0.05</v>
      </c>
      <c r="AT14" s="71">
        <v>0.05</v>
      </c>
      <c r="AU14" s="71">
        <v>0.05</v>
      </c>
      <c r="AV14" s="72">
        <f t="shared" si="1"/>
        <v>1.0000000000000002</v>
      </c>
    </row>
    <row r="15" spans="2:48" ht="25.5" customHeight="1">
      <c r="B15" s="63" t="s">
        <v>160</v>
      </c>
      <c r="C15" s="64">
        <v>45931</v>
      </c>
      <c r="D15" s="65" t="s">
        <v>88</v>
      </c>
      <c r="E15" s="65" t="s">
        <v>52</v>
      </c>
      <c r="F15" s="65" t="s">
        <v>161</v>
      </c>
      <c r="G15" s="66" t="s">
        <v>214</v>
      </c>
      <c r="H15" s="66" t="s">
        <v>54</v>
      </c>
      <c r="I15" s="66" t="s">
        <v>54</v>
      </c>
      <c r="J15" s="66" t="s">
        <v>75</v>
      </c>
      <c r="K15" s="66" t="s">
        <v>55</v>
      </c>
      <c r="L15" s="66">
        <v>12</v>
      </c>
      <c r="M15" s="77" t="s">
        <v>214</v>
      </c>
      <c r="N15" s="77" t="s">
        <v>214</v>
      </c>
      <c r="O15" s="77" t="s">
        <v>214</v>
      </c>
      <c r="P15" s="67">
        <f>SUMIFS(月次バックデータ!$H:$H,月次バックデータ!$B:$B,$B15,月次バックデータ!$E:$E,"Sales Contribution")</f>
        <v>275</v>
      </c>
      <c r="Q15" s="67">
        <f>SUMIFS(月次バックデータ!$I:$I,月次バックデータ!$B:$B,$B15,月次バックデータ!$E:$E,"Sales Contribution")</f>
        <v>700</v>
      </c>
      <c r="R15" s="67">
        <f>SUMIFS(月次バックデータ!$J:$J,月次バックデータ!$B:$B,$B15,月次バックデータ!$E:$E,"Sales Contribution")</f>
        <v>1500</v>
      </c>
      <c r="S15" s="77" t="str">
        <f>IF(G15="○",VLOOKUP(F15,Practice別!B:O,14,FALSE),"-")</f>
        <v>-</v>
      </c>
      <c r="T15" s="77" t="s">
        <v>214</v>
      </c>
      <c r="U15" s="77" t="s">
        <v>214</v>
      </c>
      <c r="V15" s="67">
        <f>ROUND(SUMIFS(月次バックデータ!$M:$M,月次バックデータ!$B:$B,$B15,月次バックデータ!$E:$E,"Sales Contribution"),0)</f>
        <v>629</v>
      </c>
      <c r="W15" s="67">
        <f>$S14/18*4</f>
        <v>320</v>
      </c>
      <c r="X15" s="67">
        <f t="shared" si="2"/>
        <v>629</v>
      </c>
      <c r="Y15" s="112" t="s">
        <v>336</v>
      </c>
      <c r="Z15" s="112" t="s">
        <v>336</v>
      </c>
      <c r="AA15" s="73" t="s">
        <v>281</v>
      </c>
      <c r="AB15" s="74" t="s">
        <v>214</v>
      </c>
      <c r="AC15" s="75">
        <v>311</v>
      </c>
      <c r="AD15" s="76" t="s">
        <v>163</v>
      </c>
      <c r="AE15" s="76" t="s">
        <v>396</v>
      </c>
      <c r="AF15" s="76" t="s">
        <v>397</v>
      </c>
      <c r="AG15" s="76" t="s">
        <v>398</v>
      </c>
      <c r="AH15" s="76" t="s">
        <v>399</v>
      </c>
      <c r="AI15" s="71" t="s">
        <v>214</v>
      </c>
      <c r="AJ15" s="71" t="s">
        <v>214</v>
      </c>
      <c r="AK15" s="71" t="s">
        <v>214</v>
      </c>
      <c r="AL15" s="71">
        <f t="shared" ref="AL15:AM17" si="7">0.5/2</f>
        <v>0.25</v>
      </c>
      <c r="AM15" s="71">
        <f t="shared" si="7"/>
        <v>0.25</v>
      </c>
      <c r="AN15" s="71">
        <v>0.25</v>
      </c>
      <c r="AO15" s="112" t="s">
        <v>336</v>
      </c>
      <c r="AP15" s="112" t="s">
        <v>336</v>
      </c>
      <c r="AQ15" s="71">
        <v>0.05</v>
      </c>
      <c r="AR15" s="71">
        <v>0.05</v>
      </c>
      <c r="AS15" s="71">
        <v>0.05</v>
      </c>
      <c r="AT15" s="71">
        <v>0.05</v>
      </c>
      <c r="AU15" s="71">
        <v>0.05</v>
      </c>
      <c r="AV15" s="72">
        <f t="shared" si="1"/>
        <v>1.0000000000000002</v>
      </c>
    </row>
    <row r="16" spans="2:48" ht="25.5" customHeight="1">
      <c r="B16" s="63" t="s">
        <v>199</v>
      </c>
      <c r="C16" s="64">
        <v>46054</v>
      </c>
      <c r="D16" s="65" t="s">
        <v>88</v>
      </c>
      <c r="E16" s="65" t="s">
        <v>52</v>
      </c>
      <c r="F16" s="65" t="s">
        <v>161</v>
      </c>
      <c r="G16" s="66" t="s">
        <v>214</v>
      </c>
      <c r="H16" s="66" t="s">
        <v>54</v>
      </c>
      <c r="I16" s="66" t="s">
        <v>54</v>
      </c>
      <c r="J16" s="66" t="s">
        <v>75</v>
      </c>
      <c r="K16" s="66" t="s">
        <v>55</v>
      </c>
      <c r="L16" s="66">
        <v>12</v>
      </c>
      <c r="M16" s="77" t="s">
        <v>214</v>
      </c>
      <c r="N16" s="77" t="s">
        <v>214</v>
      </c>
      <c r="O16" s="77" t="s">
        <v>214</v>
      </c>
      <c r="P16" s="67">
        <f>SUMIFS(月次バックデータ!$H:$H,月次バックデータ!$B:$B,$B16,月次バックデータ!$E:$E,"Sales Contribution")</f>
        <v>200</v>
      </c>
      <c r="Q16" s="67">
        <f>SUMIFS(月次バックデータ!$I:$I,月次バックデータ!$B:$B,$B16,月次バックデータ!$E:$E,"Sales Contribution")</f>
        <v>400</v>
      </c>
      <c r="R16" s="67">
        <f>SUMIFS(月次バックデータ!$J:$J,月次バックデータ!$B:$B,$B16,月次バックデータ!$E:$E,"Sales Contribution")</f>
        <v>600</v>
      </c>
      <c r="S16" s="77" t="str">
        <f>IF(G16="○",VLOOKUP(F16,Practice別!B:O,14,FALSE),"-")</f>
        <v>-</v>
      </c>
      <c r="T16" s="77" t="s">
        <v>214</v>
      </c>
      <c r="U16" s="77" t="s">
        <v>214</v>
      </c>
      <c r="V16" s="67">
        <f>ROUND(SUMIFS(月次バックデータ!$M:$M,月次バックデータ!$B:$B,$B16,月次バックデータ!$E:$E,"Sales Contribution"),0)</f>
        <v>300</v>
      </c>
      <c r="W16" s="67">
        <f>$S14/18*4</f>
        <v>320</v>
      </c>
      <c r="X16" s="67">
        <f t="shared" si="2"/>
        <v>320</v>
      </c>
      <c r="Y16" s="67">
        <f t="shared" ref="Y16:Y23" si="8">V16</f>
        <v>300</v>
      </c>
      <c r="Z16" s="68">
        <v>0.5</v>
      </c>
      <c r="AA16" s="73" t="s">
        <v>286</v>
      </c>
      <c r="AB16" s="74" t="s">
        <v>214</v>
      </c>
      <c r="AC16" s="75">
        <v>713</v>
      </c>
      <c r="AD16" s="150" t="inlineStr">
        <is>
          <t xml:space="preserve">・官公庁・公共セクター領域の経験者を年間5名以上面談し、うち2名以上の内定承諾に貢献</t>
        </is>
      </c>
      <c r="AE16" s="150" t="inlineStr">
        <is>
          <t xml:space="preserve">・既存クライアント（農林水産省・国土交通省・経済産業省）において、課長・室長レベルとの定期的なリレーション活動を実施
・産業政策、インフラDX、食料・農業政策動向に関する情報提供セッションを年3回以上実施</t>
        </is>
      </c>
      <c r="AF16" s="150" t="inlineStr">
        <is>
          <t xml:space="preserve">・新規省庁または関連独立行政法人2機関へのアプローチをリードし、1件以上のプロジェクトを受注
・政策動向レポートや先進事例紹介を活用した提案活動を実施</t>
        </is>
      </c>
      <c r="AG16" s="150" t="inlineStr">
        <is>
          <t xml:space="preserve">・官公庁の調査・実証事業の進め方に関する社内勉強会を年2回開催
・公共セクタープロジェクトにおいて2名以上のメンバーへの実務指導を実施</t>
        </is>
      </c>
      <c r="AH16" s="150" t="inlineStr">
        <is>
          <t xml:space="preserve">・産業政策またはインフラDXに関する論考を年1本発信
・公共政策フォーラムまたは自治体・業界団体向けセミナーへの登壇を年1回以上実施</t>
        </is>
      </c>
      <c r="AI16" s="71" t="s">
        <v>214</v>
      </c>
      <c r="AJ16" s="71" t="s">
        <v>214</v>
      </c>
      <c r="AK16" s="71" t="s">
        <v>214</v>
      </c>
      <c r="AL16" s="71">
        <f t="shared" si="7"/>
        <v>0.25</v>
      </c>
      <c r="AM16" s="71">
        <f t="shared" si="7"/>
        <v>0.25</v>
      </c>
      <c r="AN16" s="71">
        <f t="shared" si="5"/>
        <v>8.3333333333333329E-2</v>
      </c>
      <c r="AO16" s="71">
        <f t="shared" si="5"/>
        <v>8.3333333333333329E-2</v>
      </c>
      <c r="AP16" s="71">
        <f t="shared" si="5"/>
        <v>8.3333333333333329E-2</v>
      </c>
      <c r="AQ16" s="71">
        <v>0.05</v>
      </c>
      <c r="AR16" s="71">
        <v>0.05</v>
      </c>
      <c r="AS16" s="71">
        <v>0.05</v>
      </c>
      <c r="AT16" s="71">
        <v>0.05</v>
      </c>
      <c r="AU16" s="71">
        <v>0.05</v>
      </c>
      <c r="AV16" s="72">
        <f t="shared" si="1"/>
        <v>1.0000000000000002</v>
      </c>
    </row>
    <row r="17" spans="2:48" ht="25.5" customHeight="1">
      <c r="B17" s="63" t="s">
        <v>202</v>
      </c>
      <c r="C17" s="64">
        <v>46113</v>
      </c>
      <c r="D17" s="65" t="s">
        <v>88</v>
      </c>
      <c r="E17" s="65" t="s">
        <v>52</v>
      </c>
      <c r="F17" s="65" t="s">
        <v>161</v>
      </c>
      <c r="G17" s="66" t="s">
        <v>214</v>
      </c>
      <c r="H17" s="66" t="s">
        <v>54</v>
      </c>
      <c r="I17" s="66" t="s">
        <v>54</v>
      </c>
      <c r="J17" s="66" t="s">
        <v>75</v>
      </c>
      <c r="K17" s="66" t="s">
        <v>55</v>
      </c>
      <c r="L17" s="66">
        <v>12</v>
      </c>
      <c r="M17" s="77" t="s">
        <v>214</v>
      </c>
      <c r="N17" s="77" t="s">
        <v>214</v>
      </c>
      <c r="O17" s="77" t="s">
        <v>214</v>
      </c>
      <c r="P17" s="67">
        <f>SUMIFS(月次バックデータ!$H:$H,月次バックデータ!$B:$B,$B17,月次バックデータ!$E:$E,"Sales Contribution")</f>
        <v>200</v>
      </c>
      <c r="Q17" s="67">
        <f>SUMIFS(月次バックデータ!$I:$I,月次バックデータ!$B:$B,$B17,月次バックデータ!$E:$E,"Sales Contribution")</f>
        <v>400</v>
      </c>
      <c r="R17" s="67">
        <f>SUMIFS(月次バックデータ!$J:$J,月次バックデータ!$B:$B,$B17,月次バックデータ!$E:$E,"Sales Contribution")</f>
        <v>600</v>
      </c>
      <c r="S17" s="77" t="str">
        <f>IF(G17="○",VLOOKUP(F17,Practice別!B:O,14,FALSE),"-")</f>
        <v>-</v>
      </c>
      <c r="T17" s="77" t="s">
        <v>214</v>
      </c>
      <c r="U17" s="77" t="s">
        <v>214</v>
      </c>
      <c r="V17" s="67">
        <f>ROUND(SUMIFS(月次バックデータ!$M:$M,月次バックデータ!$B:$B,$B17,月次バックデータ!$E:$E,"Sales Contribution"),0)</f>
        <v>267</v>
      </c>
      <c r="W17" s="67">
        <f>$S14/18*4</f>
        <v>320</v>
      </c>
      <c r="X17" s="67">
        <f t="shared" si="2"/>
        <v>320</v>
      </c>
      <c r="Y17" s="67">
        <f t="shared" si="8"/>
        <v>267</v>
      </c>
      <c r="Z17" s="68">
        <v>0.5</v>
      </c>
      <c r="AA17" s="73" t="s">
        <v>287</v>
      </c>
      <c r="AB17" s="74" t="s">
        <v>214</v>
      </c>
      <c r="AC17" s="75">
        <v>200</v>
      </c>
      <c r="AD17" s="150" t="inlineStr">
        <is>
          <t xml:space="preserve">・公共・社会インフラ領域の経験者を年間5名以上面談し、うち2名以上の内定承諾に貢献</t>
        </is>
      </c>
      <c r="AE17" s="150" t="inlineStr">
        <is>
          <t xml:space="preserve">・ターゲットアカウント（郵政グループ）において、事業部門長または経営企画責任者レベルとの四半期ごとの戦略ディスカッションを実施
・物流・金融・窓口ネットワーク改革やDX推進に関する情報提供セッションを年3回以上実施</t>
        </is>
      </c>
      <c r="AF17" s="150" t="inlineStr">
        <is>
          <t xml:space="preserve">・郵政グループ内の新規部門・グループ会社2社へのアプローチをリードし、1件以上の新規案件を受注
・社会インフラ事業者の変革事例を活用した提案活動を四半期ごとに実施</t>
        </is>
      </c>
      <c r="AG17" s="150" t="inlineStr">
        <is>
          <t xml:space="preserve">・社会インフラ事業者の業務改革手法に関する社内勉強会を年2回開催
・プロジェクトにおいて2名以上のメンバーへのOJT指導を実施</t>
        </is>
      </c>
      <c r="AH17" s="150" t="inlineStr">
        <is>
          <t xml:space="preserve">・社会インフラ・公共サービス改革に関する論考を年1本発信
・業界セミナーまたはウェビナーへの登壇を年1回以上実施</t>
        </is>
      </c>
      <c r="AI17" s="71" t="s">
        <v>214</v>
      </c>
      <c r="AJ17" s="71" t="s">
        <v>214</v>
      </c>
      <c r="AK17" s="71" t="s">
        <v>214</v>
      </c>
      <c r="AL17" s="71">
        <f t="shared" si="7"/>
        <v>0.25</v>
      </c>
      <c r="AM17" s="71">
        <f t="shared" si="7"/>
        <v>0.25</v>
      </c>
      <c r="AN17" s="71">
        <f t="shared" si="5"/>
        <v>8.3333333333333329E-2</v>
      </c>
      <c r="AO17" s="71">
        <f t="shared" si="5"/>
        <v>8.3333333333333329E-2</v>
      </c>
      <c r="AP17" s="71">
        <f t="shared" si="5"/>
        <v>8.3333333333333329E-2</v>
      </c>
      <c r="AQ17" s="71">
        <v>0.05</v>
      </c>
      <c r="AR17" s="71">
        <v>0.05</v>
      </c>
      <c r="AS17" s="71">
        <v>0.05</v>
      </c>
      <c r="AT17" s="71">
        <v>0.05</v>
      </c>
      <c r="AU17" s="71">
        <v>0.05</v>
      </c>
      <c r="AV17" s="72">
        <f t="shared" si="1"/>
        <v>1.0000000000000002</v>
      </c>
    </row>
    <row r="18" spans="2:48" ht="25.5" customHeight="1">
      <c r="B18" s="63" t="s">
        <v>74</v>
      </c>
      <c r="C18" s="64">
        <v>45870</v>
      </c>
      <c r="D18" s="65" t="s">
        <v>51</v>
      </c>
      <c r="E18" s="65" t="s">
        <v>52</v>
      </c>
      <c r="F18" s="65" t="s">
        <v>68</v>
      </c>
      <c r="G18" s="66" t="s">
        <v>54</v>
      </c>
      <c r="H18" s="66" t="s">
        <v>54</v>
      </c>
      <c r="I18" s="66" t="s">
        <v>54</v>
      </c>
      <c r="J18" s="66" t="s">
        <v>75</v>
      </c>
      <c r="K18" s="66" t="s">
        <v>55</v>
      </c>
      <c r="L18" s="66">
        <v>12</v>
      </c>
      <c r="M18" s="67">
        <f>SUMIFS(月次バックデータ!$H:$H,月次バックデータ!$B:$B,$B18,月次バックデータ!$E:$E,"グロス売上")</f>
        <v>500</v>
      </c>
      <c r="N18" s="67">
        <f>SUMIFS(月次バックデータ!$I:$I,月次バックデータ!$B:$B,$B18,月次バックデータ!$E:$E,"グロス売上")</f>
        <v>1300</v>
      </c>
      <c r="O18" s="67">
        <f>SUMIFS(月次バックデータ!$J:$J,月次バックデータ!$B:$B,$B18,月次バックデータ!$E:$E,"グロス売上")</f>
        <v>2500</v>
      </c>
      <c r="P18" s="67">
        <f>SUMIFS(月次バックデータ!$H:$H,月次バックデータ!$B:$B,$B18,月次バックデータ!$E:$E,"Sales Contribution")</f>
        <v>270</v>
      </c>
      <c r="Q18" s="67">
        <f>SUMIFS(月次バックデータ!$I:$I,月次バックデータ!$B:$B,$B18,月次バックデータ!$E:$E,"Sales Contribution")</f>
        <v>650</v>
      </c>
      <c r="R18" s="67">
        <f>SUMIFS(月次バックデータ!$J:$J,月次バックデータ!$B:$B,$B18,月次バックデータ!$E:$E,"Sales Contribution")</f>
        <v>1400</v>
      </c>
      <c r="S18" s="67">
        <f>IF(G18="○",VLOOKUP(F18,Practice別!B:O,14,FALSE),"-")</f>
        <v>989</v>
      </c>
      <c r="T18" s="68">
        <v>1</v>
      </c>
      <c r="U18" s="68">
        <v>7.0000000000000007E-2</v>
      </c>
      <c r="V18" s="67">
        <f>ROUND(SUMIFS(月次バックデータ!$M:$M,月次バックデータ!$B:$B,$B18,月次バックデータ!$E:$E,"Sales Contribution"),0)</f>
        <v>650</v>
      </c>
      <c r="W18" s="67">
        <f>$S18/14*6</f>
        <v>423.85714285714283</v>
      </c>
      <c r="X18" s="67">
        <f t="shared" si="2"/>
        <v>650</v>
      </c>
      <c r="Y18" s="67">
        <f t="shared" si="8"/>
        <v>650</v>
      </c>
      <c r="Z18" s="68">
        <v>0.4</v>
      </c>
      <c r="AA18" s="69" t="s">
        <v>76</v>
      </c>
      <c r="AB18" s="74" t="s">
        <v>214</v>
      </c>
      <c r="AC18" s="75">
        <v>1179</v>
      </c>
      <c r="AD18" s="76" t="s">
        <v>362</v>
      </c>
      <c r="AE18" s="76" t="s">
        <v>363</v>
      </c>
      <c r="AF18" s="76" t="s">
        <v>364</v>
      </c>
      <c r="AG18" s="76" t="s">
        <v>365</v>
      </c>
      <c r="AH18" s="76" t="s">
        <v>366</v>
      </c>
      <c r="AI18" s="71">
        <f>0.25/3</f>
        <v>8.3333333333333329E-2</v>
      </c>
      <c r="AJ18" s="71">
        <f>0.25/3</f>
        <v>8.3333333333333329E-2</v>
      </c>
      <c r="AK18" s="71">
        <f>0.25/3</f>
        <v>8.3333333333333329E-2</v>
      </c>
      <c r="AL18" s="71">
        <f>0.25/2</f>
        <v>0.125</v>
      </c>
      <c r="AM18" s="71">
        <f>0.25/2</f>
        <v>0.125</v>
      </c>
      <c r="AN18" s="71">
        <f t="shared" si="5"/>
        <v>8.3333333333333329E-2</v>
      </c>
      <c r="AO18" s="71">
        <f t="shared" si="5"/>
        <v>8.3333333333333329E-2</v>
      </c>
      <c r="AP18" s="71">
        <f t="shared" si="5"/>
        <v>8.3333333333333329E-2</v>
      </c>
      <c r="AQ18" s="71">
        <v>0.05</v>
      </c>
      <c r="AR18" s="71">
        <v>0.05</v>
      </c>
      <c r="AS18" s="71">
        <v>0.05</v>
      </c>
      <c r="AT18" s="71">
        <v>0.05</v>
      </c>
      <c r="AU18" s="71">
        <v>0.05</v>
      </c>
      <c r="AV18" s="72">
        <f t="shared" si="1"/>
        <v>1.0000000000000002</v>
      </c>
    </row>
    <row r="19" spans="2:48" ht="25.5" customHeight="1">
      <c r="B19" s="63" t="s">
        <v>98</v>
      </c>
      <c r="C19" s="64">
        <v>46054</v>
      </c>
      <c r="D19" s="65" t="s">
        <v>51</v>
      </c>
      <c r="E19" s="65" t="s">
        <v>52</v>
      </c>
      <c r="F19" s="65" t="s">
        <v>68</v>
      </c>
      <c r="G19" s="66" t="s">
        <v>214</v>
      </c>
      <c r="H19" s="66" t="s">
        <v>54</v>
      </c>
      <c r="I19" s="66" t="s">
        <v>54</v>
      </c>
      <c r="J19" s="66" t="s">
        <v>75</v>
      </c>
      <c r="K19" s="66" t="s">
        <v>55</v>
      </c>
      <c r="L19" s="66">
        <v>12</v>
      </c>
      <c r="M19" s="77" t="s">
        <v>214</v>
      </c>
      <c r="N19" s="77" t="s">
        <v>214</v>
      </c>
      <c r="O19" s="77" t="s">
        <v>214</v>
      </c>
      <c r="P19" s="67">
        <f>SUMIFS(月次バックデータ!$H:$H,月次バックデータ!$B:$B,$B19,月次バックデータ!$E:$E,"Sales Contribution")</f>
        <v>353</v>
      </c>
      <c r="Q19" s="67">
        <f>SUMIFS(月次バックデータ!$I:$I,月次バックデータ!$B:$B,$B19,月次バックデータ!$E:$E,"Sales Contribution")</f>
        <v>1291</v>
      </c>
      <c r="R19" s="67">
        <f>SUMIFS(月次バックデータ!$J:$J,月次バックデータ!$B:$B,$B19,月次バックデータ!$E:$E,"Sales Contribution")</f>
        <v>1528</v>
      </c>
      <c r="S19" s="77" t="str">
        <f>IF(G19="○",VLOOKUP(F19,Practice別!B:O,14,FALSE),"-")</f>
        <v>-</v>
      </c>
      <c r="T19" s="77" t="s">
        <v>214</v>
      </c>
      <c r="U19" s="77" t="s">
        <v>214</v>
      </c>
      <c r="V19" s="67">
        <f>ROUND(SUMIFS(月次バックデータ!$M:$M,月次バックデータ!$B:$B,$B19,月次バックデータ!$E:$E,"Sales Contribution"),0)</f>
        <v>1291</v>
      </c>
      <c r="W19" s="67">
        <f>$S18/14*6</f>
        <v>423.85714285714283</v>
      </c>
      <c r="X19" s="100">
        <f>W19</f>
        <v>423.85714285714283</v>
      </c>
      <c r="Y19" s="67">
        <f t="shared" si="8"/>
        <v>1291</v>
      </c>
      <c r="Z19" s="68">
        <v>0.4</v>
      </c>
      <c r="AA19" s="73" t="s">
        <v>99</v>
      </c>
      <c r="AB19" s="74" t="s">
        <v>214</v>
      </c>
      <c r="AC19" s="75">
        <v>215</v>
      </c>
      <c r="AD19" s="150" t="inlineStr">
        <is>
          <t xml:space="preserve">・テクノロジー領域（ERP/SCM/DX）のコンサルタント経験者を年間7名以上面談し、うち3名以上の内定承諾に貢献
・ITコンサルタント向け採用イベントまたはセミナーに2回以上参画</t>
        </is>
      </c>
      <c r="AE19" s="150" t="inlineStr">
        <is>
          <t xml:space="preserve">・ターゲットアカウント（パナソニック）含む3社において、CIOまたは事業部門責任者との四半期ごとの戦略対話を主導
・基幹システム刷新や生成AI活用に関する情報提供セッションを年6回以上実施</t>
        </is>
      </c>
      <c r="AF19" s="150" t="inlineStr">
        <is>
          <t xml:space="preserve">・パナソニックグループ内の新規事業会社を含む新規クライアント4社へのアプローチをリードし、うち2社でパイロット案件を受注
・製造業DX・基幹システム刷新の事例を活用した提案活動を実施</t>
        </is>
      </c>
      <c r="AG19" s="150" t="inlineStr">
        <is>
          <t xml:space="preserve">・大規模システム刷新・PMO手法に関する社内トレーニングを年3回開催
・プロジェクトにおいて3名以上のメンバーへの実務指導・メンタリングを実施</t>
        </is>
      </c>
      <c r="AH19" s="150" t="inlineStr">
        <is>
          <t xml:space="preserve">・製造業DXまたは基幹システム刷新に関するホワイトペーパーを年2本発信
・ITカンファレンスまたは経営層向けDXフォーラムへの登壇を年1回以上実施</t>
        </is>
      </c>
      <c r="AI19" s="71" t="s">
        <v>214</v>
      </c>
      <c r="AJ19" s="71" t="s">
        <v>214</v>
      </c>
      <c r="AK19" s="71" t="s">
        <v>214</v>
      </c>
      <c r="AL19" s="71">
        <f>0.5/2</f>
        <v>0.25</v>
      </c>
      <c r="AM19" s="71">
        <f>0.5/2</f>
        <v>0.25</v>
      </c>
      <c r="AN19" s="71">
        <f t="shared" si="5"/>
        <v>8.3333333333333329E-2</v>
      </c>
      <c r="AO19" s="71">
        <f t="shared" si="5"/>
        <v>8.3333333333333329E-2</v>
      </c>
      <c r="AP19" s="71">
        <f t="shared" si="5"/>
        <v>8.3333333333333329E-2</v>
      </c>
      <c r="AQ19" s="71">
        <v>0.05</v>
      </c>
      <c r="AR19" s="71">
        <v>0.05</v>
      </c>
      <c r="AS19" s="71">
        <v>0.05</v>
      </c>
      <c r="AT19" s="71">
        <v>0.05</v>
      </c>
      <c r="AU19" s="71">
        <v>0.05</v>
      </c>
      <c r="AV19" s="72">
        <f t="shared" si="1"/>
        <v>1.0000000000000002</v>
      </c>
    </row>
    <row r="20" spans="2:48" ht="25.5" customHeight="1">
      <c r="B20" s="63" t="s">
        <v>87</v>
      </c>
      <c r="C20" s="64">
        <v>45597</v>
      </c>
      <c r="D20" s="65" t="s">
        <v>88</v>
      </c>
      <c r="E20" s="65" t="s">
        <v>52</v>
      </c>
      <c r="F20" s="65" t="s">
        <v>68</v>
      </c>
      <c r="G20" s="66" t="s">
        <v>214</v>
      </c>
      <c r="H20" s="66" t="s">
        <v>214</v>
      </c>
      <c r="I20" s="66" t="s">
        <v>54</v>
      </c>
      <c r="J20" s="66" t="s">
        <v>55</v>
      </c>
      <c r="K20" s="66" t="s">
        <v>55</v>
      </c>
      <c r="L20" s="66">
        <v>12</v>
      </c>
      <c r="M20" s="77" t="s">
        <v>214</v>
      </c>
      <c r="N20" s="77" t="s">
        <v>214</v>
      </c>
      <c r="O20" s="77" t="s">
        <v>214</v>
      </c>
      <c r="P20" s="67">
        <f>SUMIFS(月次バックデータ!$H:$H,月次バックデータ!$B:$B,$B20,月次バックデータ!$E:$E,"Sales Contribution")</f>
        <v>200</v>
      </c>
      <c r="Q20" s="67">
        <f>SUMIFS(月次バックデータ!$I:$I,月次バックデータ!$B:$B,$B20,月次バックデータ!$E:$E,"Sales Contribution")</f>
        <v>300</v>
      </c>
      <c r="R20" s="67">
        <f>SUMIFS(月次バックデータ!$J:$J,月次バックデータ!$B:$B,$B20,月次バックデータ!$E:$E,"Sales Contribution")</f>
        <v>0</v>
      </c>
      <c r="S20" s="77" t="str">
        <f>IF(G20="○",VLOOKUP(F20,Practice別!B:O,14,FALSE),"-")</f>
        <v>-</v>
      </c>
      <c r="T20" s="77" t="s">
        <v>214</v>
      </c>
      <c r="U20" s="77" t="s">
        <v>214</v>
      </c>
      <c r="V20" s="67">
        <f>ROUND(SUMIFS(月次バックデータ!$M:$M,月次バックデータ!$B:$B,$B20,月次バックデータ!$E:$E,"Sales Contribution"),0)</f>
        <v>300</v>
      </c>
      <c r="W20" s="67">
        <f>$S18/14*2</f>
        <v>141.28571428571428</v>
      </c>
      <c r="X20" s="67">
        <f t="shared" si="2"/>
        <v>300</v>
      </c>
      <c r="Y20" s="67">
        <f t="shared" si="8"/>
        <v>300</v>
      </c>
      <c r="Z20" s="68">
        <v>0.5</v>
      </c>
      <c r="AA20" s="69" t="s">
        <v>214</v>
      </c>
      <c r="AB20" s="69" t="s">
        <v>214</v>
      </c>
      <c r="AC20" s="69" t="s">
        <v>214</v>
      </c>
      <c r="AD20" s="76" t="s">
        <v>367</v>
      </c>
      <c r="AE20" s="76" t="s">
        <v>368</v>
      </c>
      <c r="AF20" s="76" t="s">
        <v>369</v>
      </c>
      <c r="AG20" s="76" t="s">
        <v>370</v>
      </c>
      <c r="AH20" s="76" t="s">
        <v>371</v>
      </c>
      <c r="AI20" s="71" t="s">
        <v>214</v>
      </c>
      <c r="AJ20" s="71" t="s">
        <v>214</v>
      </c>
      <c r="AK20" s="71" t="s">
        <v>214</v>
      </c>
      <c r="AL20" s="71" t="s">
        <v>214</v>
      </c>
      <c r="AM20" s="71" t="s">
        <v>214</v>
      </c>
      <c r="AN20" s="71">
        <f>0.75/3</f>
        <v>0.25</v>
      </c>
      <c r="AO20" s="71">
        <f>0.75/3</f>
        <v>0.25</v>
      </c>
      <c r="AP20" s="71">
        <f>0.75/3</f>
        <v>0.25</v>
      </c>
      <c r="AQ20" s="71">
        <v>0.05</v>
      </c>
      <c r="AR20" s="71">
        <v>0.05</v>
      </c>
      <c r="AS20" s="71">
        <v>0.05</v>
      </c>
      <c r="AT20" s="71">
        <v>0.05</v>
      </c>
      <c r="AU20" s="71">
        <v>0.05</v>
      </c>
      <c r="AV20" s="72">
        <f t="shared" si="1"/>
        <v>1.0000000000000002</v>
      </c>
    </row>
    <row r="21" spans="2:48" ht="25.5" customHeight="1">
      <c r="B21" s="63" t="s">
        <v>50</v>
      </c>
      <c r="C21" s="64">
        <v>45717</v>
      </c>
      <c r="D21" s="65" t="s">
        <v>51</v>
      </c>
      <c r="E21" s="65" t="s">
        <v>52</v>
      </c>
      <c r="F21" s="65" t="s">
        <v>53</v>
      </c>
      <c r="G21" s="66" t="s">
        <v>54</v>
      </c>
      <c r="H21" s="66" t="s">
        <v>54</v>
      </c>
      <c r="I21" s="66" t="s">
        <v>54</v>
      </c>
      <c r="J21" s="66" t="s">
        <v>55</v>
      </c>
      <c r="K21" s="66" t="s">
        <v>55</v>
      </c>
      <c r="L21" s="66">
        <v>12</v>
      </c>
      <c r="M21" s="67">
        <f>SUMIFS(月次バックデータ!$H:$H,月次バックデータ!$B:$B,$B21,月次バックデータ!$E:$E,"グロス売上")</f>
        <v>150</v>
      </c>
      <c r="N21" s="67">
        <f>SUMIFS(月次バックデータ!$I:$I,月次バックデータ!$B:$B,$B21,月次バックデータ!$E:$E,"グロス売上")</f>
        <v>400</v>
      </c>
      <c r="O21" s="67">
        <f>SUMIFS(月次バックデータ!$J:$J,月次バックデータ!$B:$B,$B21,月次バックデータ!$E:$E,"グロス売上")</f>
        <v>1000</v>
      </c>
      <c r="P21" s="67">
        <f>SUMIFS(月次バックデータ!$H:$H,月次バックデータ!$B:$B,$B21,月次バックデータ!$E:$E,"Sales Contribution")</f>
        <v>150</v>
      </c>
      <c r="Q21" s="67">
        <f>SUMIFS(月次バックデータ!$I:$I,月次バックデータ!$B:$B,$B21,月次バックデータ!$E:$E,"Sales Contribution")</f>
        <v>400</v>
      </c>
      <c r="R21" s="67">
        <f>SUMIFS(月次バックデータ!$J:$J,月次バックデータ!$B:$B,$B21,月次バックデータ!$E:$E,"Sales Contribution")</f>
        <v>1000</v>
      </c>
      <c r="S21" s="67">
        <f>IF(G21="○",VLOOKUP(F21,Practice別!B:O,14,FALSE),"-")</f>
        <v>1000</v>
      </c>
      <c r="T21" s="68">
        <v>1</v>
      </c>
      <c r="U21" s="68">
        <v>7.0000000000000007E-2</v>
      </c>
      <c r="V21" s="67">
        <f>ROUND(SUMIFS(月次バックデータ!$M:$M,月次バックデータ!$B:$B,$B21,月次バックデータ!$E:$E,"Sales Contribution"),0)</f>
        <v>650</v>
      </c>
      <c r="W21" s="67">
        <f>$S21</f>
        <v>1000</v>
      </c>
      <c r="X21" s="67">
        <f t="shared" si="2"/>
        <v>1000</v>
      </c>
      <c r="Y21" s="67">
        <f t="shared" si="8"/>
        <v>650</v>
      </c>
      <c r="Z21" s="68">
        <v>0.4</v>
      </c>
      <c r="AA21" s="69" t="s">
        <v>298</v>
      </c>
      <c r="AB21" s="74" t="s">
        <v>214</v>
      </c>
      <c r="AC21" s="75">
        <v>3879</v>
      </c>
      <c r="AD21" s="113" t="s">
        <v>361</v>
      </c>
      <c r="AE21" s="76" t="s">
        <v>357</v>
      </c>
      <c r="AF21" s="76" t="s">
        <v>358</v>
      </c>
      <c r="AG21" s="76" t="s">
        <v>359</v>
      </c>
      <c r="AH21" s="76" t="s">
        <v>360</v>
      </c>
      <c r="AI21" s="71">
        <f t="shared" ref="AI21:AK22" si="9">0.25/3</f>
        <v>8.3333333333333329E-2</v>
      </c>
      <c r="AJ21" s="71">
        <f t="shared" si="9"/>
        <v>8.3333333333333329E-2</v>
      </c>
      <c r="AK21" s="71">
        <f t="shared" si="9"/>
        <v>8.3333333333333329E-2</v>
      </c>
      <c r="AL21" s="71">
        <f>0.25/2</f>
        <v>0.125</v>
      </c>
      <c r="AM21" s="71">
        <f>0.25/2</f>
        <v>0.125</v>
      </c>
      <c r="AN21" s="71">
        <f t="shared" ref="AN21:AP23" si="10">0.25/3</f>
        <v>8.3333333333333329E-2</v>
      </c>
      <c r="AO21" s="71">
        <f t="shared" si="10"/>
        <v>8.3333333333333329E-2</v>
      </c>
      <c r="AP21" s="71">
        <f t="shared" si="10"/>
        <v>8.3333333333333329E-2</v>
      </c>
      <c r="AQ21" s="71">
        <v>0.05</v>
      </c>
      <c r="AR21" s="71">
        <v>0.05</v>
      </c>
      <c r="AS21" s="71">
        <v>0.05</v>
      </c>
      <c r="AT21" s="71">
        <v>0.05</v>
      </c>
      <c r="AU21" s="71">
        <v>0.05</v>
      </c>
      <c r="AV21" s="72">
        <f t="shared" si="1"/>
        <v>1.0000000000000002</v>
      </c>
    </row>
    <row r="22" spans="2:48" ht="25.5" customHeight="1">
      <c r="B22" s="63" t="s">
        <v>113</v>
      </c>
      <c r="C22" s="64">
        <v>45870</v>
      </c>
      <c r="D22" s="65" t="s">
        <v>51</v>
      </c>
      <c r="E22" s="65" t="s">
        <v>52</v>
      </c>
      <c r="F22" s="65" t="s">
        <v>304</v>
      </c>
      <c r="G22" s="66" t="s">
        <v>54</v>
      </c>
      <c r="H22" s="66" t="s">
        <v>54</v>
      </c>
      <c r="I22" s="66" t="s">
        <v>54</v>
      </c>
      <c r="J22" s="66" t="s">
        <v>75</v>
      </c>
      <c r="K22" s="66" t="s">
        <v>55</v>
      </c>
      <c r="L22" s="66">
        <v>12</v>
      </c>
      <c r="M22" s="67">
        <f>SUMIFS(月次バックデータ!$H:$H,月次バックデータ!$B:$B,$B22,月次バックデータ!$E:$E,"グロス売上")</f>
        <v>400</v>
      </c>
      <c r="N22" s="67">
        <f>SUMIFS(月次バックデータ!$I:$I,月次バックデータ!$B:$B,$B22,月次バックデータ!$E:$E,"グロス売上")</f>
        <v>600</v>
      </c>
      <c r="O22" s="67">
        <f>SUMIFS(月次バックデータ!$J:$J,月次バックデータ!$B:$B,$B22,月次バックデータ!$E:$E,"グロス売上")</f>
        <v>1000</v>
      </c>
      <c r="P22" s="67">
        <f>SUMIFS(月次バックデータ!$H:$H,月次バックデータ!$B:$B,$B22,月次バックデータ!$E:$E,"Sales Contribution")</f>
        <v>200</v>
      </c>
      <c r="Q22" s="67">
        <f>SUMIFS(月次バックデータ!$I:$I,月次バックデータ!$B:$B,$B22,月次バックデータ!$E:$E,"Sales Contribution")</f>
        <v>400</v>
      </c>
      <c r="R22" s="67">
        <f>SUMIFS(月次バックデータ!$J:$J,月次バックデータ!$B:$B,$B22,月次バックデータ!$E:$E,"Sales Contribution")</f>
        <v>600</v>
      </c>
      <c r="S22" s="67">
        <f>IF(G22="○",VLOOKUP(F22,Practice別!B:O,14,FALSE),"-")</f>
        <v>477</v>
      </c>
      <c r="T22" s="68">
        <v>1</v>
      </c>
      <c r="U22" s="68">
        <v>7.0000000000000007E-2</v>
      </c>
      <c r="V22" s="67">
        <f>ROUND(SUMIFS(月次バックデータ!$M:$M,月次バックデータ!$B:$B,$B22,月次バックデータ!$E:$E,"Sales Contribution"),0)</f>
        <v>400</v>
      </c>
      <c r="W22" s="67">
        <f>$S22</f>
        <v>477</v>
      </c>
      <c r="X22" s="67">
        <f t="shared" si="2"/>
        <v>477</v>
      </c>
      <c r="Y22" s="67">
        <f t="shared" si="8"/>
        <v>400</v>
      </c>
      <c r="Z22" s="68">
        <v>0.4</v>
      </c>
      <c r="AA22" s="69" t="s">
        <v>305</v>
      </c>
      <c r="AB22" s="74" t="s">
        <v>214</v>
      </c>
      <c r="AC22" s="75">
        <v>564</v>
      </c>
      <c r="AD22" s="76" t="s">
        <v>377</v>
      </c>
      <c r="AE22" s="76" t="s">
        <v>378</v>
      </c>
      <c r="AF22" s="76" t="s">
        <v>379</v>
      </c>
      <c r="AG22" s="76" t="s">
        <v>380</v>
      </c>
      <c r="AH22" s="76" t="s">
        <v>381</v>
      </c>
      <c r="AI22" s="71">
        <f t="shared" si="9"/>
        <v>8.3333333333333329E-2</v>
      </c>
      <c r="AJ22" s="71">
        <f t="shared" si="9"/>
        <v>8.3333333333333329E-2</v>
      </c>
      <c r="AK22" s="71">
        <f t="shared" si="9"/>
        <v>8.3333333333333329E-2</v>
      </c>
      <c r="AL22" s="71">
        <f>0.25/2</f>
        <v>0.125</v>
      </c>
      <c r="AM22" s="71">
        <f>0.25/2</f>
        <v>0.125</v>
      </c>
      <c r="AN22" s="71">
        <f t="shared" si="10"/>
        <v>8.3333333333333329E-2</v>
      </c>
      <c r="AO22" s="71">
        <f t="shared" si="10"/>
        <v>8.3333333333333329E-2</v>
      </c>
      <c r="AP22" s="71">
        <f t="shared" si="10"/>
        <v>8.3333333333333329E-2</v>
      </c>
      <c r="AQ22" s="71">
        <v>0.05</v>
      </c>
      <c r="AR22" s="71">
        <v>0.05</v>
      </c>
      <c r="AS22" s="71">
        <v>0.05</v>
      </c>
      <c r="AT22" s="71">
        <v>0.05</v>
      </c>
      <c r="AU22" s="71">
        <v>0.05</v>
      </c>
      <c r="AV22" s="72">
        <f t="shared" si="1"/>
        <v>1.0000000000000002</v>
      </c>
    </row>
    <row r="23" spans="2:48" ht="25.5" customHeight="1">
      <c r="B23" s="63" t="s">
        <v>223</v>
      </c>
      <c r="C23" s="64">
        <v>46235</v>
      </c>
      <c r="D23" s="65" t="s">
        <v>51</v>
      </c>
      <c r="E23" s="65" t="s">
        <v>173</v>
      </c>
      <c r="F23" s="65" t="s">
        <v>311</v>
      </c>
      <c r="G23" s="66" t="s">
        <v>54</v>
      </c>
      <c r="H23" s="66" t="s">
        <v>214</v>
      </c>
      <c r="I23" s="66" t="s">
        <v>54</v>
      </c>
      <c r="J23" s="66" t="s">
        <v>75</v>
      </c>
      <c r="K23" s="66" t="s">
        <v>55</v>
      </c>
      <c r="L23" s="66">
        <v>12</v>
      </c>
      <c r="M23" s="67">
        <f>SUMIFS(月次バックデータ!$H:$H,月次バックデータ!$B:$B,$B23,月次バックデータ!$E:$E,"グロス売上")</f>
        <v>0</v>
      </c>
      <c r="N23" s="67">
        <f>SUMIFS(月次バックデータ!$I:$I,月次バックデータ!$B:$B,$B23,月次バックデータ!$E:$E,"グロス売上")</f>
        <v>150</v>
      </c>
      <c r="O23" s="67">
        <f>SUMIFS(月次バックデータ!$J:$J,月次バックデータ!$B:$B,$B23,月次バックデータ!$E:$E,"グロス売上")</f>
        <v>300</v>
      </c>
      <c r="P23" s="67">
        <f>SUMIFS(月次バックデータ!$H:$H,月次バックデータ!$B:$B,$B23,月次バックデータ!$E:$E,"Sales Contribution")</f>
        <v>0</v>
      </c>
      <c r="Q23" s="67">
        <f>SUMIFS(月次バックデータ!$I:$I,月次バックデータ!$B:$B,$B23,月次バックデータ!$E:$E,"Sales Contribution")</f>
        <v>150</v>
      </c>
      <c r="R23" s="67">
        <f>SUMIFS(月次バックデータ!$J:$J,月次バックデータ!$B:$B,$B23,月次バックデータ!$E:$E,"Sales Contribution")</f>
        <v>300</v>
      </c>
      <c r="S23" s="67">
        <f>IF(G23="○",VLOOKUP(F23,Practice別!B:O,14,FALSE),"-")</f>
        <v>150</v>
      </c>
      <c r="T23" s="68">
        <v>1</v>
      </c>
      <c r="U23" s="68">
        <v>7.0000000000000007E-2</v>
      </c>
      <c r="V23" s="67">
        <f>ROUND(SUMIFS(月次バックデータ!$M:$M,月次バックデータ!$B:$B,$B23,月次バックデータ!$E:$E,"Sales Contribution"),0)</f>
        <v>150</v>
      </c>
      <c r="W23" s="67">
        <f>$S23*60%</f>
        <v>90</v>
      </c>
      <c r="X23" s="67">
        <f t="shared" si="2"/>
        <v>150</v>
      </c>
      <c r="Y23" s="67">
        <f t="shared" si="8"/>
        <v>150</v>
      </c>
      <c r="Z23" s="68">
        <v>0.4</v>
      </c>
      <c r="AA23" s="69" t="s">
        <v>214</v>
      </c>
      <c r="AB23" s="74" t="s">
        <v>214</v>
      </c>
      <c r="AC23" s="75" t="s">
        <v>214</v>
      </c>
      <c r="AD23" s="150" t="inlineStr">
        <is>
          <t xml:space="preserve">・GRC領域の専門人材（内部監査、リスク管理、コンプライアンス、公認会計士等）を年間7名以上面談し、うち3名以上の内定承諾に貢献
・GRC関連の採用セッションまたはネットワーキングイベントに2回以上参画</t>
        </is>
      </c>
      <c r="AE23" s="150" t="inlineStr">
        <is>
          <t xml:space="preserve">・新規クライアント含む3社において、CRO・CCOまたは内部監査責任者との四半期ごとの戦略対話を主導
・規制動向や内部統制・リスクマネジメント高度化に関する情報提供セッションを年6回以上実施</t>
        </is>
      </c>
      <c r="AF23" s="150" t="inlineStr">
        <is>
          <t xml:space="preserve">・ガバナンス強化・リスク管理高度化ニーズを持つ新規クライアント4社へのアプローチをリードし、うち2社でパイロット案件を受注
・Cyber Security/Corporate Finance Practiceと連携したクロスセル提案を四半期ごとに実施</t>
        </is>
      </c>
      <c r="AG23" s="150" t="inlineStr">
        <is>
          <t xml:space="preserve">・GRC（内部統制、ERM、コンプライアンス）に関する社内トレーニングを年3回開催
・Practice内メンバー3名以上に対する定期的なメンタリングとスキル育成を実施</t>
        </is>
      </c>
      <c r="AH23" s="150" t="inlineStr">
        <is>
          <t xml:space="preserve">・ERMまたはガバナンス高度化に関するホワイトペーパーを年2本発信
・GRC関連カンファレンスまたはセミナーへの登壇を年2回以上実施し、Practice Leaderとしてのプレゼンスを確立</t>
        </is>
      </c>
      <c r="AI23" s="71">
        <f>0.5/3</f>
        <v>0.16666666666666666</v>
      </c>
      <c r="AJ23" s="71">
        <f>0.5/3</f>
        <v>0.16666666666666666</v>
      </c>
      <c r="AK23" s="71">
        <f>0.5/3</f>
        <v>0.16666666666666666</v>
      </c>
      <c r="AL23" s="71" t="s">
        <v>214</v>
      </c>
      <c r="AM23" s="71" t="s">
        <v>214</v>
      </c>
      <c r="AN23" s="71">
        <f t="shared" si="10"/>
        <v>8.3333333333333329E-2</v>
      </c>
      <c r="AO23" s="71">
        <f t="shared" si="10"/>
        <v>8.3333333333333329E-2</v>
      </c>
      <c r="AP23" s="71">
        <f t="shared" si="10"/>
        <v>8.3333333333333329E-2</v>
      </c>
      <c r="AQ23" s="71">
        <v>0.05</v>
      </c>
      <c r="AR23" s="71">
        <v>0.05</v>
      </c>
      <c r="AS23" s="71">
        <v>0.05</v>
      </c>
      <c r="AT23" s="71">
        <v>0.05</v>
      </c>
      <c r="AU23" s="71">
        <v>0.05</v>
      </c>
      <c r="AV23" s="72">
        <f t="shared" si="1"/>
        <v>1.0000000000000002</v>
      </c>
    </row>
    <row r="24" spans="2:48" ht="25.5" customHeight="1">
      <c r="B24" s="63" t="s">
        <v>332</v>
      </c>
      <c r="C24" s="64">
        <v>46296</v>
      </c>
      <c r="D24" s="65" t="s">
        <v>331</v>
      </c>
      <c r="E24" s="65" t="s">
        <v>173</v>
      </c>
      <c r="F24" s="65" t="s">
        <v>311</v>
      </c>
      <c r="G24" s="66"/>
      <c r="H24" s="66"/>
      <c r="I24" s="66"/>
      <c r="J24" s="66"/>
      <c r="K24" s="66"/>
      <c r="L24" s="66"/>
      <c r="M24" s="67"/>
      <c r="N24" s="67"/>
      <c r="O24" s="67"/>
      <c r="P24" s="67"/>
      <c r="Q24" s="67"/>
      <c r="R24" s="67"/>
      <c r="S24" s="67" t="str">
        <f>IF(G24="○",VLOOKUP(F24,Practice別!B:O,14,FALSE),"-")</f>
        <v>-</v>
      </c>
      <c r="T24" s="68"/>
      <c r="U24" s="68"/>
      <c r="V24" s="67"/>
      <c r="W24" s="67">
        <f>$S23*40%</f>
        <v>60</v>
      </c>
      <c r="X24" s="67">
        <f t="shared" si="2"/>
        <v>60</v>
      </c>
      <c r="Y24" s="67"/>
      <c r="Z24" s="68"/>
      <c r="AA24" s="69"/>
      <c r="AB24" s="74"/>
      <c r="AC24" s="75"/>
      <c r="AD24" s="150" t="inlineStr">
        <is>
          <t xml:space="preserve">・GRC領域の専門人材（内部監査、リスク管理、コンプライアンス経験者等）を年間5名以上面談し、うち2名以上の内定承諾に貢献</t>
        </is>
      </c>
      <c r="AE24" s="150" t="inlineStr">
        <is>
          <t xml:space="preserve">・ターゲットアカウントにおいて、リスク管理・内部監査責任者レベルとの四半期ごとのディスカッションを実施
・規制動向や内部統制高度化に関する情報提供セッションを年3回以上実施</t>
        </is>
      </c>
      <c r="AF24" s="150" t="inlineStr">
        <is>
          <t xml:space="preserve">・新規クライアント3社へのアプローチをリードし、うち1社でパイロット案件を受注
・内部統制・リスク評価の事例を活用した提案活動を四半期ごとに実施</t>
        </is>
      </c>
      <c r="AG24" s="150" t="inlineStr">
        <is>
          <t xml:space="preserve">・内部統制・リスクマネジメント手法に関する社内勉強会を年2回開催
・プロジェクトにおいて2名以上のメンバーへのOJT指導を実施</t>
        </is>
      </c>
      <c r="AH24" s="150" t="inlineStr">
        <is>
          <t xml:space="preserve">・GRC領域（内部統制・リスク管理等）に関する論考を年1本発信
・GRC関連セミナーまたはウェビナーへの登壇を年1回以上実施</t>
        </is>
      </c>
      <c r="AI24" s="71"/>
      <c r="AJ24" s="71"/>
      <c r="AK24" s="71"/>
      <c r="AL24" s="71"/>
      <c r="AM24" s="71"/>
      <c r="AN24" s="71"/>
      <c r="AO24" s="71"/>
      <c r="AP24" s="71"/>
      <c r="AQ24" s="71"/>
      <c r="AR24" s="71"/>
      <c r="AS24" s="71"/>
      <c r="AT24" s="71"/>
      <c r="AU24" s="71"/>
      <c r="AV24" s="72"/>
    </row>
    <row r="26" spans="2:48">
      <c r="B26" s="92" t="s">
        <v>333</v>
      </c>
      <c r="M26" s="93">
        <f>SUM(M5:M24)</f>
        <v>2669</v>
      </c>
      <c r="N26" s="93">
        <f t="shared" ref="N26:R26" si="11">SUM(N5:N24)</f>
        <v>6061</v>
      </c>
      <c r="O26" s="93">
        <f t="shared" si="11"/>
        <v>10422</v>
      </c>
      <c r="P26" s="93">
        <f t="shared" si="11"/>
        <v>3767</v>
      </c>
      <c r="Q26" s="93">
        <f t="shared" si="11"/>
        <v>8454</v>
      </c>
      <c r="R26" s="93">
        <f t="shared" si="11"/>
        <v>12978</v>
      </c>
      <c r="S26" s="93">
        <f>SUM(S5:S24)</f>
        <v>7189</v>
      </c>
      <c r="V26" s="93">
        <f>SUM(V5:V24)</f>
        <v>8069</v>
      </c>
      <c r="W26" s="93">
        <f>SUM(W5:W24)</f>
        <v>7189.0000000000009</v>
      </c>
      <c r="X26" s="93">
        <f>SUM(X5:X24)</f>
        <v>8466.8571428571431</v>
      </c>
      <c r="Y26" s="93">
        <f>SUM(Y5:Y24)</f>
        <v>7173</v>
      </c>
    </row>
  </sheetData>
  <mergeCells count="21">
    <mergeCell ref="G2:I3"/>
    <mergeCell ref="B2:B4"/>
    <mergeCell ref="C2:C4"/>
    <mergeCell ref="D2:D4"/>
    <mergeCell ref="E2:E4"/>
    <mergeCell ref="F2:F4"/>
    <mergeCell ref="J2:J3"/>
    <mergeCell ref="K2:L3"/>
    <mergeCell ref="M2:O2"/>
    <mergeCell ref="P2:R2"/>
    <mergeCell ref="S2:U2"/>
    <mergeCell ref="AA2:AC3"/>
    <mergeCell ref="AD2:AH3"/>
    <mergeCell ref="AI2:AV2"/>
    <mergeCell ref="M3:O3"/>
    <mergeCell ref="P3:R3"/>
    <mergeCell ref="AI3:AK3"/>
    <mergeCell ref="AL3:AM3"/>
    <mergeCell ref="AN3:AP3"/>
    <mergeCell ref="AQ3:AU3"/>
    <mergeCell ref="V2:Z2"/>
  </mergeCells>
  <phoneticPr fontId="45"/>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CABBB-4854-4E86-90CA-0A36758320C5}">
  <dimension ref="B2:O16"/>
  <sheetViews>
    <sheetView showGridLines="0" workbookViewId="0">
      <selection activeCell="B5" sqref="B5"/>
    </sheetView>
  </sheetViews>
  <sheetFormatPr defaultRowHeight="18"/>
  <cols>
    <col min="2" max="2" width="26.25" bestFit="1" customWidth="1"/>
  </cols>
  <sheetData>
    <row r="2" spans="2:15">
      <c r="B2" s="96" t="s">
        <v>344</v>
      </c>
      <c r="C2" s="98">
        <v>46235</v>
      </c>
      <c r="D2" s="98">
        <v>46266</v>
      </c>
      <c r="E2" s="98">
        <v>46296</v>
      </c>
      <c r="F2" s="98">
        <v>46327</v>
      </c>
      <c r="G2" s="98">
        <v>46357</v>
      </c>
      <c r="H2" s="98">
        <v>46388</v>
      </c>
      <c r="I2" s="98">
        <v>46419</v>
      </c>
      <c r="J2" s="98">
        <v>46447</v>
      </c>
      <c r="K2" s="98">
        <v>46478</v>
      </c>
      <c r="L2" s="98">
        <v>46508</v>
      </c>
      <c r="M2" s="98">
        <v>46539</v>
      </c>
      <c r="N2" s="98">
        <v>46569</v>
      </c>
      <c r="O2" s="97" t="s">
        <v>345</v>
      </c>
    </row>
    <row r="3" spans="2:15">
      <c r="B3" t="s">
        <v>53</v>
      </c>
      <c r="C3">
        <v>52</v>
      </c>
      <c r="D3">
        <v>55</v>
      </c>
      <c r="E3">
        <v>71</v>
      </c>
      <c r="F3">
        <v>87</v>
      </c>
      <c r="G3">
        <v>84</v>
      </c>
      <c r="H3">
        <v>87</v>
      </c>
      <c r="I3">
        <v>92</v>
      </c>
      <c r="J3">
        <v>92</v>
      </c>
      <c r="K3">
        <v>91</v>
      </c>
      <c r="L3">
        <v>96</v>
      </c>
      <c r="M3">
        <v>96</v>
      </c>
      <c r="N3">
        <v>98</v>
      </c>
      <c r="O3" s="95">
        <v>1000</v>
      </c>
    </row>
    <row r="4" spans="2:15">
      <c r="B4" t="s">
        <v>161</v>
      </c>
      <c r="C4">
        <v>33</v>
      </c>
      <c r="D4">
        <v>71</v>
      </c>
      <c r="E4">
        <v>80</v>
      </c>
      <c r="F4">
        <v>84</v>
      </c>
      <c r="G4">
        <v>88</v>
      </c>
      <c r="H4">
        <v>100</v>
      </c>
      <c r="I4">
        <v>104</v>
      </c>
      <c r="J4">
        <v>105</v>
      </c>
      <c r="K4">
        <v>192</v>
      </c>
      <c r="L4">
        <v>192</v>
      </c>
      <c r="M4">
        <v>196</v>
      </c>
      <c r="N4">
        <v>195</v>
      </c>
      <c r="O4" s="95">
        <v>1440</v>
      </c>
    </row>
    <row r="5" spans="2:15">
      <c r="B5" t="s">
        <v>337</v>
      </c>
      <c r="C5">
        <v>24</v>
      </c>
      <c r="D5">
        <v>32</v>
      </c>
      <c r="E5">
        <v>47</v>
      </c>
      <c r="F5">
        <v>47</v>
      </c>
      <c r="G5">
        <v>52</v>
      </c>
      <c r="H5">
        <v>57</v>
      </c>
      <c r="I5">
        <v>60</v>
      </c>
      <c r="J5">
        <v>62</v>
      </c>
      <c r="K5">
        <v>48</v>
      </c>
      <c r="L5">
        <v>49</v>
      </c>
      <c r="M5">
        <v>59</v>
      </c>
      <c r="N5">
        <v>63</v>
      </c>
      <c r="O5">
        <v>600</v>
      </c>
    </row>
    <row r="6" spans="2:15">
      <c r="B6" t="s">
        <v>68</v>
      </c>
      <c r="C6">
        <v>64</v>
      </c>
      <c r="D6">
        <v>64</v>
      </c>
      <c r="E6">
        <v>82</v>
      </c>
      <c r="F6">
        <v>84</v>
      </c>
      <c r="G6">
        <v>86</v>
      </c>
      <c r="H6">
        <v>88</v>
      </c>
      <c r="I6">
        <v>93</v>
      </c>
      <c r="J6">
        <v>110</v>
      </c>
      <c r="K6">
        <v>94</v>
      </c>
      <c r="L6">
        <v>90</v>
      </c>
      <c r="M6">
        <v>71</v>
      </c>
      <c r="N6">
        <v>67</v>
      </c>
      <c r="O6">
        <v>989</v>
      </c>
    </row>
    <row r="7" spans="2:15">
      <c r="B7" t="s">
        <v>338</v>
      </c>
      <c r="C7">
        <v>24</v>
      </c>
      <c r="D7">
        <v>13</v>
      </c>
      <c r="E7">
        <v>34</v>
      </c>
      <c r="F7">
        <v>32</v>
      </c>
      <c r="G7">
        <v>23</v>
      </c>
      <c r="H7">
        <v>57</v>
      </c>
      <c r="I7">
        <v>36</v>
      </c>
      <c r="J7">
        <v>35</v>
      </c>
      <c r="K7">
        <v>70</v>
      </c>
      <c r="L7">
        <v>38</v>
      </c>
      <c r="M7">
        <v>39</v>
      </c>
      <c r="N7">
        <v>101</v>
      </c>
      <c r="O7">
        <v>500</v>
      </c>
    </row>
    <row r="8" spans="2:15">
      <c r="B8" t="s">
        <v>304</v>
      </c>
      <c r="C8">
        <v>36</v>
      </c>
      <c r="D8">
        <v>40</v>
      </c>
      <c r="E8">
        <v>40</v>
      </c>
      <c r="F8">
        <v>40</v>
      </c>
      <c r="G8">
        <v>40</v>
      </c>
      <c r="H8">
        <v>40</v>
      </c>
      <c r="I8">
        <v>40</v>
      </c>
      <c r="J8">
        <v>40</v>
      </c>
      <c r="K8">
        <v>40</v>
      </c>
      <c r="L8">
        <v>40</v>
      </c>
      <c r="M8">
        <v>40</v>
      </c>
      <c r="N8">
        <v>40</v>
      </c>
      <c r="O8">
        <v>477</v>
      </c>
    </row>
    <row r="9" spans="2:15">
      <c r="B9" t="s">
        <v>174</v>
      </c>
      <c r="C9">
        <v>19</v>
      </c>
      <c r="D9">
        <v>31</v>
      </c>
      <c r="E9">
        <v>22</v>
      </c>
      <c r="F9">
        <v>9</v>
      </c>
      <c r="G9">
        <v>9</v>
      </c>
      <c r="H9">
        <v>46</v>
      </c>
      <c r="I9">
        <v>48</v>
      </c>
      <c r="J9">
        <v>50</v>
      </c>
      <c r="K9">
        <v>56</v>
      </c>
      <c r="L9">
        <v>74</v>
      </c>
      <c r="M9">
        <v>88</v>
      </c>
      <c r="N9">
        <v>98</v>
      </c>
      <c r="O9">
        <v>546</v>
      </c>
    </row>
    <row r="10" spans="2:15">
      <c r="B10" t="s">
        <v>339</v>
      </c>
      <c r="C10">
        <v>5</v>
      </c>
      <c r="D10">
        <v>5</v>
      </c>
      <c r="E10">
        <v>15</v>
      </c>
      <c r="F10">
        <v>15</v>
      </c>
      <c r="G10">
        <v>15</v>
      </c>
      <c r="H10">
        <v>29</v>
      </c>
      <c r="I10">
        <v>35</v>
      </c>
      <c r="J10">
        <v>35</v>
      </c>
      <c r="K10">
        <v>51</v>
      </c>
      <c r="L10">
        <v>54</v>
      </c>
      <c r="M10">
        <v>54</v>
      </c>
      <c r="N10">
        <v>54</v>
      </c>
      <c r="O10">
        <v>366</v>
      </c>
    </row>
    <row r="11" spans="2:15">
      <c r="B11" t="s">
        <v>253</v>
      </c>
      <c r="C11">
        <v>21</v>
      </c>
      <c r="D11">
        <v>21</v>
      </c>
      <c r="E11">
        <v>40</v>
      </c>
      <c r="F11">
        <v>38</v>
      </c>
      <c r="G11">
        <v>38</v>
      </c>
      <c r="H11">
        <v>39</v>
      </c>
      <c r="I11">
        <v>35</v>
      </c>
      <c r="J11">
        <v>35</v>
      </c>
      <c r="K11">
        <v>25</v>
      </c>
      <c r="L11">
        <v>25</v>
      </c>
      <c r="M11">
        <v>25</v>
      </c>
      <c r="N11">
        <v>21</v>
      </c>
      <c r="O11">
        <v>365</v>
      </c>
    </row>
    <row r="12" spans="2:15">
      <c r="B12" t="s">
        <v>340</v>
      </c>
      <c r="C12">
        <v>10</v>
      </c>
      <c r="D12">
        <v>19</v>
      </c>
      <c r="E12">
        <v>22</v>
      </c>
      <c r="F12">
        <v>22</v>
      </c>
      <c r="G12">
        <v>14</v>
      </c>
      <c r="H12">
        <v>33</v>
      </c>
      <c r="I12">
        <v>33</v>
      </c>
      <c r="J12">
        <v>33</v>
      </c>
      <c r="K12">
        <v>27</v>
      </c>
      <c r="L12">
        <v>33</v>
      </c>
      <c r="M12">
        <v>33</v>
      </c>
      <c r="N12">
        <v>33</v>
      </c>
      <c r="O12">
        <v>312</v>
      </c>
    </row>
    <row r="13" spans="2:15">
      <c r="B13" t="s">
        <v>355</v>
      </c>
      <c r="C13">
        <v>21</v>
      </c>
      <c r="D13">
        <v>23</v>
      </c>
      <c r="E13">
        <v>23</v>
      </c>
      <c r="F13">
        <v>30</v>
      </c>
      <c r="G13">
        <v>28</v>
      </c>
      <c r="H13">
        <v>34</v>
      </c>
      <c r="I13">
        <v>41</v>
      </c>
      <c r="J13">
        <v>45</v>
      </c>
      <c r="K13">
        <v>43</v>
      </c>
      <c r="L13">
        <v>49</v>
      </c>
      <c r="M13">
        <v>53</v>
      </c>
      <c r="N13">
        <v>53</v>
      </c>
      <c r="O13">
        <v>444</v>
      </c>
    </row>
    <row r="14" spans="2:15">
      <c r="B14" t="s">
        <v>342</v>
      </c>
      <c r="C14">
        <v>0</v>
      </c>
    </row>
    <row r="15" spans="2:15">
      <c r="B15" t="s">
        <v>343</v>
      </c>
      <c r="C15">
        <v>0</v>
      </c>
    </row>
    <row r="16" spans="2:15">
      <c r="B16" t="s">
        <v>356</v>
      </c>
      <c r="O16">
        <v>150</v>
      </c>
    </row>
  </sheetData>
  <phoneticPr fontId="45"/>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V38"/>
  <sheetViews>
    <sheetView zoomScaleNormal="100" workbookViewId="0">
      <pane xSplit="13" ySplit="4" topLeftCell="N5" activePane="bottomRight" state="frozen"/>
      <selection pane="topRight" activeCell="N1" sqref="N1"/>
      <selection pane="bottomLeft" activeCell="A5" sqref="A5"/>
      <selection pane="bottomRight" activeCell="D9" sqref="D9"/>
    </sheetView>
  </sheetViews>
  <sheetFormatPr defaultColWidth="8.5" defaultRowHeight="18"/>
  <cols>
    <col min="1" max="1" width="0.58203125" style="48" customWidth="1"/>
    <col min="2" max="2" width="12" style="48" customWidth="1"/>
    <col min="3" max="3" width="6" style="48" customWidth="1"/>
    <col min="4" max="5" width="16" style="48" customWidth="1"/>
    <col min="6" max="6" width="14" style="48" customWidth="1"/>
    <col min="7" max="7" width="11" style="48" customWidth="1"/>
    <col min="8" max="13" width="10" style="48" customWidth="1"/>
    <col min="14" max="74" width="7.5" style="48" customWidth="1"/>
  </cols>
  <sheetData>
    <row r="1" spans="2:74" ht="18.75" customHeight="1">
      <c r="B1" s="78" t="s">
        <v>312</v>
      </c>
    </row>
    <row r="2" spans="2:74" ht="18.75" customHeight="1">
      <c r="B2" s="79" t="s">
        <v>313</v>
      </c>
    </row>
    <row r="4" spans="2:74">
      <c r="B4" s="80" t="s">
        <v>27</v>
      </c>
      <c r="C4" s="81" t="s">
        <v>29</v>
      </c>
      <c r="D4" s="80" t="s">
        <v>314</v>
      </c>
      <c r="E4" s="80" t="s">
        <v>315</v>
      </c>
      <c r="F4" s="80" t="s">
        <v>316</v>
      </c>
      <c r="G4" s="80" t="s">
        <v>28</v>
      </c>
      <c r="H4" s="91" t="s">
        <v>328</v>
      </c>
      <c r="I4" s="91" t="s">
        <v>329</v>
      </c>
      <c r="J4" s="91" t="s">
        <v>330</v>
      </c>
      <c r="K4" s="82" t="s">
        <v>317</v>
      </c>
      <c r="L4" s="82" t="s">
        <v>318</v>
      </c>
      <c r="M4" s="82" t="s">
        <v>319</v>
      </c>
      <c r="N4" s="83">
        <v>45474</v>
      </c>
      <c r="O4" s="83">
        <v>45505</v>
      </c>
      <c r="P4" s="83">
        <v>45536</v>
      </c>
      <c r="Q4" s="83">
        <v>45566</v>
      </c>
      <c r="R4" s="83">
        <v>45597</v>
      </c>
      <c r="S4" s="83">
        <v>45627</v>
      </c>
      <c r="T4" s="83">
        <v>45658</v>
      </c>
      <c r="U4" s="83">
        <v>45689</v>
      </c>
      <c r="V4" s="83">
        <v>45717</v>
      </c>
      <c r="W4" s="83">
        <v>45748</v>
      </c>
      <c r="X4" s="83">
        <v>45778</v>
      </c>
      <c r="Y4" s="83">
        <v>45809</v>
      </c>
      <c r="Z4" s="83">
        <v>45839</v>
      </c>
      <c r="AA4" s="83">
        <v>45870</v>
      </c>
      <c r="AB4" s="83">
        <v>45901</v>
      </c>
      <c r="AC4" s="83">
        <v>45931</v>
      </c>
      <c r="AD4" s="83">
        <v>45962</v>
      </c>
      <c r="AE4" s="83">
        <v>45992</v>
      </c>
      <c r="AF4" s="83">
        <v>46023</v>
      </c>
      <c r="AG4" s="83">
        <v>46054</v>
      </c>
      <c r="AH4" s="83">
        <v>46082</v>
      </c>
      <c r="AI4" s="83">
        <v>46113</v>
      </c>
      <c r="AJ4" s="83">
        <v>46143</v>
      </c>
      <c r="AK4" s="83">
        <v>46174</v>
      </c>
      <c r="AL4" s="83">
        <v>46204</v>
      </c>
      <c r="AM4" s="83">
        <v>46235</v>
      </c>
      <c r="AN4" s="83">
        <v>46266</v>
      </c>
      <c r="AO4" s="83">
        <v>46296</v>
      </c>
      <c r="AP4" s="83">
        <v>46327</v>
      </c>
      <c r="AQ4" s="83">
        <v>46357</v>
      </c>
      <c r="AR4" s="83">
        <v>46388</v>
      </c>
      <c r="AS4" s="83">
        <v>46419</v>
      </c>
      <c r="AT4" s="83">
        <v>46447</v>
      </c>
      <c r="AU4" s="83">
        <v>46478</v>
      </c>
      <c r="AV4" s="83">
        <v>46508</v>
      </c>
      <c r="AW4" s="83">
        <v>46539</v>
      </c>
      <c r="AX4" s="83">
        <v>46569</v>
      </c>
      <c r="AY4" s="83">
        <v>46600</v>
      </c>
      <c r="AZ4" s="83">
        <v>46631</v>
      </c>
      <c r="BA4" s="83">
        <v>46661</v>
      </c>
      <c r="BB4" s="83">
        <v>46692</v>
      </c>
      <c r="BC4" s="83">
        <v>46722</v>
      </c>
      <c r="BD4" s="83">
        <v>46753</v>
      </c>
      <c r="BE4" s="83">
        <v>46784</v>
      </c>
      <c r="BF4" s="83">
        <v>46813</v>
      </c>
      <c r="BG4" s="83">
        <v>46844</v>
      </c>
      <c r="BH4" s="83">
        <v>46874</v>
      </c>
      <c r="BI4" s="83">
        <v>46905</v>
      </c>
      <c r="BJ4" s="83">
        <v>46935</v>
      </c>
      <c r="BK4" s="83">
        <v>46966</v>
      </c>
      <c r="BL4" s="83">
        <v>46997</v>
      </c>
      <c r="BM4" s="83">
        <v>47027</v>
      </c>
      <c r="BN4" s="83">
        <v>47058</v>
      </c>
      <c r="BO4" s="83">
        <v>47088</v>
      </c>
      <c r="BP4" s="83">
        <v>47119</v>
      </c>
      <c r="BQ4" s="83">
        <v>47150</v>
      </c>
      <c r="BR4" s="83">
        <v>47178</v>
      </c>
      <c r="BS4" s="83">
        <v>47209</v>
      </c>
      <c r="BT4" s="83">
        <v>47239</v>
      </c>
      <c r="BU4" s="83">
        <v>47270</v>
      </c>
      <c r="BV4" s="83">
        <v>47300</v>
      </c>
    </row>
    <row r="5" spans="2:74" ht="18.75" customHeight="1">
      <c r="B5" s="84" t="s">
        <v>200</v>
      </c>
      <c r="C5" s="85" t="s">
        <v>88</v>
      </c>
      <c r="D5" s="85" t="s">
        <v>320</v>
      </c>
      <c r="E5" s="84" t="s">
        <v>17</v>
      </c>
      <c r="F5" s="85" t="s">
        <v>321</v>
      </c>
      <c r="G5" s="86">
        <v>46082</v>
      </c>
      <c r="H5" s="87">
        <v>230</v>
      </c>
      <c r="I5" s="87">
        <v>600</v>
      </c>
      <c r="J5" s="87">
        <v>840</v>
      </c>
      <c r="K5" s="88">
        <f t="shared" ref="K5:K35" si="0">SUMPRODUCT((O$4:Z$4&gt;=$G5)*O5:Z5)</f>
        <v>0</v>
      </c>
      <c r="L5" s="88">
        <f t="shared" ref="L5:L35" si="1">SUMPRODUCT((AA$4:AL$4&gt;=$G5)*AA5:AL5)</f>
        <v>95.833333333333343</v>
      </c>
      <c r="M5" s="88">
        <f t="shared" ref="M5:M35" si="2">SUMPRODUCT((AM$4:AX$4&gt;=$G5)*AM5:AX5)</f>
        <v>600</v>
      </c>
      <c r="N5" s="89">
        <f>IF($F5="FY表記",IF(OR(YEAR(N$4)+IF(MONTH(N$4)&gt;=8,1,0)-2025&lt;1,YEAR(N$4)+IF(MONTH(N$4)&gt;=8,1,0)-2025&gt;3),0,INDEX($H5:$J5,YEAR(N$4)+IF(MONTH(N$4)&gt;=8,1,0)-2025)/12),IF($F5="FY表記(在籍月割)",IF(OR(YEAR(N$4)+IF(MONTH(N$4)&gt;=8,1,0)-2025&lt;1,YEAR(N$4)+IF(MONTH(N$4)&gt;=8,1,0)-2025&gt;3,(YEAR(N$4)-YEAR($G5))*12+MONTH(N$4)-MONTH($G5)&lt;0),0,INDEX($H5:$J5,YEAR(N$4)+IF(MONTH(N$4)&gt;=8,1,0)-2025)/(12-MAX(0,(YEAR($G5)-2024-(YEAR(N$4)+IF(MONTH(N$4)&gt;=8,1,0)-2025))*12+MONTH($G5)-8))),IF(OR((YEAR(N$4)-YEAR($G5))*12+MONTH(N$4)-MONTH($G5)&lt;0,(YEAR(N$4)-YEAR($G5))*12+MONTH(N$4)-MONTH($G5)&gt;=36),0,INDEX($H5:$J5,INT(((YEAR(N$4)-YEAR($G5))*12+MONTH(N$4)-MONTH($G5))/12)+1)/12)))</f>
        <v>0</v>
      </c>
      <c r="O5" s="89">
        <f t="shared" ref="N5:W14" si="3">IF($F5="FY表記",IF(OR(YEAR(O$4)+IF(MONTH(O$4)&gt;=8,1,0)-2025&lt;1,YEAR(O$4)+IF(MONTH(O$4)&gt;=8,1,0)-2025&gt;3),0,INDEX($H5:$J5,YEAR(O$4)+IF(MONTH(O$4)&gt;=8,1,0)-2025)/12),IF($F5="FY表記(在籍月割)",IF(OR(YEAR(O$4)+IF(MONTH(O$4)&gt;=8,1,0)-2025&lt;1,YEAR(O$4)+IF(MONTH(O$4)&gt;=8,1,0)-2025&gt;3,(YEAR(O$4)-YEAR($G5))*12+MONTH(O$4)-MONTH($G5)&lt;0),0,INDEX($H5:$J5,YEAR(O$4)+IF(MONTH(O$4)&gt;=8,1,0)-2025)/(12-MAX(0,(YEAR($G5)-2024-(YEAR(O$4)+IF(MONTH(O$4)&gt;=8,1,0)-2025))*12+MONTH($G5)-8))),IF(OR((YEAR(O$4)-YEAR($G5))*12+MONTH(O$4)-MONTH($G5)&lt;0,(YEAR(O$4)-YEAR($G5))*12+MONTH(O$4)-MONTH($G5)&gt;=36),0,INDEX($H5:$J5,INT(((YEAR(O$4)-YEAR($G5))*12+MONTH(O$4)-MONTH($G5))/12)+1)/12)))</f>
        <v>0</v>
      </c>
      <c r="P5" s="89">
        <f t="shared" si="3"/>
        <v>0</v>
      </c>
      <c r="Q5" s="89">
        <f t="shared" si="3"/>
        <v>0</v>
      </c>
      <c r="R5" s="89">
        <f t="shared" si="3"/>
        <v>0</v>
      </c>
      <c r="S5" s="89">
        <f t="shared" si="3"/>
        <v>0</v>
      </c>
      <c r="T5" s="89">
        <f t="shared" si="3"/>
        <v>0</v>
      </c>
      <c r="U5" s="89">
        <f t="shared" si="3"/>
        <v>0</v>
      </c>
      <c r="V5" s="89">
        <f t="shared" si="3"/>
        <v>0</v>
      </c>
      <c r="W5" s="89">
        <f t="shared" si="3"/>
        <v>0</v>
      </c>
      <c r="X5" s="89">
        <f t="shared" ref="X5:AG14" si="4">IF($F5="FY表記",IF(OR(YEAR(X$4)+IF(MONTH(X$4)&gt;=8,1,0)-2025&lt;1,YEAR(X$4)+IF(MONTH(X$4)&gt;=8,1,0)-2025&gt;3),0,INDEX($H5:$J5,YEAR(X$4)+IF(MONTH(X$4)&gt;=8,1,0)-2025)/12),IF($F5="FY表記(在籍月割)",IF(OR(YEAR(X$4)+IF(MONTH(X$4)&gt;=8,1,0)-2025&lt;1,YEAR(X$4)+IF(MONTH(X$4)&gt;=8,1,0)-2025&gt;3,(YEAR(X$4)-YEAR($G5))*12+MONTH(X$4)-MONTH($G5)&lt;0),0,INDEX($H5:$J5,YEAR(X$4)+IF(MONTH(X$4)&gt;=8,1,0)-2025)/(12-MAX(0,(YEAR($G5)-2024-(YEAR(X$4)+IF(MONTH(X$4)&gt;=8,1,0)-2025))*12+MONTH($G5)-8))),IF(OR((YEAR(X$4)-YEAR($G5))*12+MONTH(X$4)-MONTH($G5)&lt;0,(YEAR(X$4)-YEAR($G5))*12+MONTH(X$4)-MONTH($G5)&gt;=36),0,INDEX($H5:$J5,INT(((YEAR(X$4)-YEAR($G5))*12+MONTH(X$4)-MONTH($G5))/12)+1)/12)))</f>
        <v>0</v>
      </c>
      <c r="Y5" s="89">
        <f t="shared" si="4"/>
        <v>0</v>
      </c>
      <c r="Z5" s="89">
        <f t="shared" si="4"/>
        <v>0</v>
      </c>
      <c r="AA5" s="89">
        <f t="shared" si="4"/>
        <v>19.166666666666668</v>
      </c>
      <c r="AB5" s="89">
        <f t="shared" si="4"/>
        <v>19.166666666666668</v>
      </c>
      <c r="AC5" s="89">
        <f t="shared" si="4"/>
        <v>19.166666666666668</v>
      </c>
      <c r="AD5" s="89">
        <f t="shared" si="4"/>
        <v>19.166666666666668</v>
      </c>
      <c r="AE5" s="89">
        <f t="shared" si="4"/>
        <v>19.166666666666668</v>
      </c>
      <c r="AF5" s="89">
        <f t="shared" si="4"/>
        <v>19.166666666666668</v>
      </c>
      <c r="AG5" s="89">
        <f t="shared" si="4"/>
        <v>19.166666666666668</v>
      </c>
      <c r="AH5" s="89">
        <f t="shared" ref="AH5:AQ14" si="5">IF($F5="FY表記",IF(OR(YEAR(AH$4)+IF(MONTH(AH$4)&gt;=8,1,0)-2025&lt;1,YEAR(AH$4)+IF(MONTH(AH$4)&gt;=8,1,0)-2025&gt;3),0,INDEX($H5:$J5,YEAR(AH$4)+IF(MONTH(AH$4)&gt;=8,1,0)-2025)/12),IF($F5="FY表記(在籍月割)",IF(OR(YEAR(AH$4)+IF(MONTH(AH$4)&gt;=8,1,0)-2025&lt;1,YEAR(AH$4)+IF(MONTH(AH$4)&gt;=8,1,0)-2025&gt;3,(YEAR(AH$4)-YEAR($G5))*12+MONTH(AH$4)-MONTH($G5)&lt;0),0,INDEX($H5:$J5,YEAR(AH$4)+IF(MONTH(AH$4)&gt;=8,1,0)-2025)/(12-MAX(0,(YEAR($G5)-2024-(YEAR(AH$4)+IF(MONTH(AH$4)&gt;=8,1,0)-2025))*12+MONTH($G5)-8))),IF(OR((YEAR(AH$4)-YEAR($G5))*12+MONTH(AH$4)-MONTH($G5)&lt;0,(YEAR(AH$4)-YEAR($G5))*12+MONTH(AH$4)-MONTH($G5)&gt;=36),0,INDEX($H5:$J5,INT(((YEAR(AH$4)-YEAR($G5))*12+MONTH(AH$4)-MONTH($G5))/12)+1)/12)))</f>
        <v>19.166666666666668</v>
      </c>
      <c r="AI5" s="89">
        <f t="shared" si="5"/>
        <v>19.166666666666668</v>
      </c>
      <c r="AJ5" s="89">
        <f t="shared" si="5"/>
        <v>19.166666666666668</v>
      </c>
      <c r="AK5" s="89">
        <f t="shared" si="5"/>
        <v>19.166666666666668</v>
      </c>
      <c r="AL5" s="89">
        <f t="shared" si="5"/>
        <v>19.166666666666668</v>
      </c>
      <c r="AM5" s="89">
        <f t="shared" si="5"/>
        <v>50</v>
      </c>
      <c r="AN5" s="89">
        <f t="shared" si="5"/>
        <v>50</v>
      </c>
      <c r="AO5" s="89">
        <f t="shared" si="5"/>
        <v>50</v>
      </c>
      <c r="AP5" s="89">
        <f t="shared" si="5"/>
        <v>50</v>
      </c>
      <c r="AQ5" s="89">
        <f t="shared" si="5"/>
        <v>50</v>
      </c>
      <c r="AR5" s="89">
        <f t="shared" ref="AR5:BA14" si="6">IF($F5="FY表記",IF(OR(YEAR(AR$4)+IF(MONTH(AR$4)&gt;=8,1,0)-2025&lt;1,YEAR(AR$4)+IF(MONTH(AR$4)&gt;=8,1,0)-2025&gt;3),0,INDEX($H5:$J5,YEAR(AR$4)+IF(MONTH(AR$4)&gt;=8,1,0)-2025)/12),IF($F5="FY表記(在籍月割)",IF(OR(YEAR(AR$4)+IF(MONTH(AR$4)&gt;=8,1,0)-2025&lt;1,YEAR(AR$4)+IF(MONTH(AR$4)&gt;=8,1,0)-2025&gt;3,(YEAR(AR$4)-YEAR($G5))*12+MONTH(AR$4)-MONTH($G5)&lt;0),0,INDEX($H5:$J5,YEAR(AR$4)+IF(MONTH(AR$4)&gt;=8,1,0)-2025)/(12-MAX(0,(YEAR($G5)-2024-(YEAR(AR$4)+IF(MONTH(AR$4)&gt;=8,1,0)-2025))*12+MONTH($G5)-8))),IF(OR((YEAR(AR$4)-YEAR($G5))*12+MONTH(AR$4)-MONTH($G5)&lt;0,(YEAR(AR$4)-YEAR($G5))*12+MONTH(AR$4)-MONTH($G5)&gt;=36),0,INDEX($H5:$J5,INT(((YEAR(AR$4)-YEAR($G5))*12+MONTH(AR$4)-MONTH($G5))/12)+1)/12)))</f>
        <v>50</v>
      </c>
      <c r="AS5" s="89">
        <f t="shared" si="6"/>
        <v>50</v>
      </c>
      <c r="AT5" s="89">
        <f t="shared" si="6"/>
        <v>50</v>
      </c>
      <c r="AU5" s="89">
        <f t="shared" si="6"/>
        <v>50</v>
      </c>
      <c r="AV5" s="89">
        <f t="shared" si="6"/>
        <v>50</v>
      </c>
      <c r="AW5" s="89">
        <f t="shared" si="6"/>
        <v>50</v>
      </c>
      <c r="AX5" s="89">
        <f t="shared" si="6"/>
        <v>50</v>
      </c>
      <c r="AY5" s="89">
        <f t="shared" si="6"/>
        <v>70</v>
      </c>
      <c r="AZ5" s="89">
        <f t="shared" si="6"/>
        <v>70</v>
      </c>
      <c r="BA5" s="89">
        <f t="shared" si="6"/>
        <v>70</v>
      </c>
      <c r="BB5" s="89">
        <f t="shared" ref="BB5:BK14" si="7">IF($F5="FY表記",IF(OR(YEAR(BB$4)+IF(MONTH(BB$4)&gt;=8,1,0)-2025&lt;1,YEAR(BB$4)+IF(MONTH(BB$4)&gt;=8,1,0)-2025&gt;3),0,INDEX($H5:$J5,YEAR(BB$4)+IF(MONTH(BB$4)&gt;=8,1,0)-2025)/12),IF($F5="FY表記(在籍月割)",IF(OR(YEAR(BB$4)+IF(MONTH(BB$4)&gt;=8,1,0)-2025&lt;1,YEAR(BB$4)+IF(MONTH(BB$4)&gt;=8,1,0)-2025&gt;3,(YEAR(BB$4)-YEAR($G5))*12+MONTH(BB$4)-MONTH($G5)&lt;0),0,INDEX($H5:$J5,YEAR(BB$4)+IF(MONTH(BB$4)&gt;=8,1,0)-2025)/(12-MAX(0,(YEAR($G5)-2024-(YEAR(BB$4)+IF(MONTH(BB$4)&gt;=8,1,0)-2025))*12+MONTH($G5)-8))),IF(OR((YEAR(BB$4)-YEAR($G5))*12+MONTH(BB$4)-MONTH($G5)&lt;0,(YEAR(BB$4)-YEAR($G5))*12+MONTH(BB$4)-MONTH($G5)&gt;=36),0,INDEX($H5:$J5,INT(((YEAR(BB$4)-YEAR($G5))*12+MONTH(BB$4)-MONTH($G5))/12)+1)/12)))</f>
        <v>70</v>
      </c>
      <c r="BC5" s="89">
        <f t="shared" si="7"/>
        <v>70</v>
      </c>
      <c r="BD5" s="89">
        <f t="shared" si="7"/>
        <v>70</v>
      </c>
      <c r="BE5" s="89">
        <f t="shared" si="7"/>
        <v>70</v>
      </c>
      <c r="BF5" s="89">
        <f t="shared" si="7"/>
        <v>70</v>
      </c>
      <c r="BG5" s="89">
        <f t="shared" si="7"/>
        <v>70</v>
      </c>
      <c r="BH5" s="89">
        <f t="shared" si="7"/>
        <v>70</v>
      </c>
      <c r="BI5" s="89">
        <f t="shared" si="7"/>
        <v>70</v>
      </c>
      <c r="BJ5" s="89">
        <f t="shared" si="7"/>
        <v>70</v>
      </c>
      <c r="BK5" s="89">
        <f t="shared" si="7"/>
        <v>0</v>
      </c>
      <c r="BL5" s="89">
        <f t="shared" ref="BL5:BV14" si="8">IF($F5="FY表記",IF(OR(YEAR(BL$4)+IF(MONTH(BL$4)&gt;=8,1,0)-2025&lt;1,YEAR(BL$4)+IF(MONTH(BL$4)&gt;=8,1,0)-2025&gt;3),0,INDEX($H5:$J5,YEAR(BL$4)+IF(MONTH(BL$4)&gt;=8,1,0)-2025)/12),IF($F5="FY表記(在籍月割)",IF(OR(YEAR(BL$4)+IF(MONTH(BL$4)&gt;=8,1,0)-2025&lt;1,YEAR(BL$4)+IF(MONTH(BL$4)&gt;=8,1,0)-2025&gt;3,(YEAR(BL$4)-YEAR($G5))*12+MONTH(BL$4)-MONTH($G5)&lt;0),0,INDEX($H5:$J5,YEAR(BL$4)+IF(MONTH(BL$4)&gt;=8,1,0)-2025)/(12-MAX(0,(YEAR($G5)-2024-(YEAR(BL$4)+IF(MONTH(BL$4)&gt;=8,1,0)-2025))*12+MONTH($G5)-8))),IF(OR((YEAR(BL$4)-YEAR($G5))*12+MONTH(BL$4)-MONTH($G5)&lt;0,(YEAR(BL$4)-YEAR($G5))*12+MONTH(BL$4)-MONTH($G5)&gt;=36),0,INDEX($H5:$J5,INT(((YEAR(BL$4)-YEAR($G5))*12+MONTH(BL$4)-MONTH($G5))/12)+1)/12)))</f>
        <v>0</v>
      </c>
      <c r="BM5" s="89">
        <f t="shared" si="8"/>
        <v>0</v>
      </c>
      <c r="BN5" s="89">
        <f t="shared" si="8"/>
        <v>0</v>
      </c>
      <c r="BO5" s="89">
        <f t="shared" si="8"/>
        <v>0</v>
      </c>
      <c r="BP5" s="89">
        <f t="shared" si="8"/>
        <v>0</v>
      </c>
      <c r="BQ5" s="89">
        <f t="shared" si="8"/>
        <v>0</v>
      </c>
      <c r="BR5" s="89">
        <f t="shared" si="8"/>
        <v>0</v>
      </c>
      <c r="BS5" s="89">
        <f t="shared" si="8"/>
        <v>0</v>
      </c>
      <c r="BT5" s="89">
        <f t="shared" si="8"/>
        <v>0</v>
      </c>
      <c r="BU5" s="89">
        <f t="shared" si="8"/>
        <v>0</v>
      </c>
      <c r="BV5" s="89">
        <f t="shared" si="8"/>
        <v>0</v>
      </c>
    </row>
    <row r="6" spans="2:74" ht="18.75" customHeight="1">
      <c r="B6" s="84" t="s">
        <v>200</v>
      </c>
      <c r="C6" s="85" t="s">
        <v>88</v>
      </c>
      <c r="D6" s="85" t="s">
        <v>320</v>
      </c>
      <c r="E6" s="85" t="s">
        <v>18</v>
      </c>
      <c r="F6" s="85" t="s">
        <v>321</v>
      </c>
      <c r="G6" s="86">
        <v>46082</v>
      </c>
      <c r="H6" s="87">
        <v>230</v>
      </c>
      <c r="I6" s="87">
        <v>600</v>
      </c>
      <c r="J6" s="87">
        <v>840</v>
      </c>
      <c r="K6" s="88">
        <f t="shared" si="0"/>
        <v>0</v>
      </c>
      <c r="L6" s="88">
        <f t="shared" si="1"/>
        <v>95.833333333333343</v>
      </c>
      <c r="M6" s="88">
        <f t="shared" si="2"/>
        <v>600</v>
      </c>
      <c r="N6" s="89">
        <f t="shared" si="3"/>
        <v>0</v>
      </c>
      <c r="O6" s="89">
        <f t="shared" si="3"/>
        <v>0</v>
      </c>
      <c r="P6" s="89">
        <f t="shared" si="3"/>
        <v>0</v>
      </c>
      <c r="Q6" s="89">
        <f t="shared" si="3"/>
        <v>0</v>
      </c>
      <c r="R6" s="89">
        <f t="shared" si="3"/>
        <v>0</v>
      </c>
      <c r="S6" s="89">
        <f t="shared" si="3"/>
        <v>0</v>
      </c>
      <c r="T6" s="89">
        <f t="shared" si="3"/>
        <v>0</v>
      </c>
      <c r="U6" s="89">
        <f t="shared" si="3"/>
        <v>0</v>
      </c>
      <c r="V6" s="89">
        <f t="shared" si="3"/>
        <v>0</v>
      </c>
      <c r="W6" s="89">
        <f t="shared" si="3"/>
        <v>0</v>
      </c>
      <c r="X6" s="89">
        <f t="shared" si="4"/>
        <v>0</v>
      </c>
      <c r="Y6" s="89">
        <f t="shared" si="4"/>
        <v>0</v>
      </c>
      <c r="Z6" s="89">
        <f t="shared" si="4"/>
        <v>0</v>
      </c>
      <c r="AA6" s="89">
        <f t="shared" si="4"/>
        <v>19.166666666666668</v>
      </c>
      <c r="AB6" s="89">
        <f t="shared" si="4"/>
        <v>19.166666666666668</v>
      </c>
      <c r="AC6" s="89">
        <f t="shared" si="4"/>
        <v>19.166666666666668</v>
      </c>
      <c r="AD6" s="89">
        <f t="shared" si="4"/>
        <v>19.166666666666668</v>
      </c>
      <c r="AE6" s="89">
        <f t="shared" si="4"/>
        <v>19.166666666666668</v>
      </c>
      <c r="AF6" s="89">
        <f t="shared" si="4"/>
        <v>19.166666666666668</v>
      </c>
      <c r="AG6" s="89">
        <f t="shared" si="4"/>
        <v>19.166666666666668</v>
      </c>
      <c r="AH6" s="89">
        <f t="shared" si="5"/>
        <v>19.166666666666668</v>
      </c>
      <c r="AI6" s="89">
        <f t="shared" si="5"/>
        <v>19.166666666666668</v>
      </c>
      <c r="AJ6" s="89">
        <f t="shared" si="5"/>
        <v>19.166666666666668</v>
      </c>
      <c r="AK6" s="89">
        <f t="shared" si="5"/>
        <v>19.166666666666668</v>
      </c>
      <c r="AL6" s="89">
        <f t="shared" si="5"/>
        <v>19.166666666666668</v>
      </c>
      <c r="AM6" s="89">
        <f t="shared" si="5"/>
        <v>50</v>
      </c>
      <c r="AN6" s="89">
        <f t="shared" si="5"/>
        <v>50</v>
      </c>
      <c r="AO6" s="89">
        <f t="shared" si="5"/>
        <v>50</v>
      </c>
      <c r="AP6" s="89">
        <f t="shared" si="5"/>
        <v>50</v>
      </c>
      <c r="AQ6" s="89">
        <f t="shared" si="5"/>
        <v>50</v>
      </c>
      <c r="AR6" s="89">
        <f t="shared" si="6"/>
        <v>50</v>
      </c>
      <c r="AS6" s="89">
        <f t="shared" si="6"/>
        <v>50</v>
      </c>
      <c r="AT6" s="89">
        <f t="shared" si="6"/>
        <v>50</v>
      </c>
      <c r="AU6" s="89">
        <f t="shared" si="6"/>
        <v>50</v>
      </c>
      <c r="AV6" s="89">
        <f t="shared" si="6"/>
        <v>50</v>
      </c>
      <c r="AW6" s="89">
        <f t="shared" si="6"/>
        <v>50</v>
      </c>
      <c r="AX6" s="89">
        <f t="shared" si="6"/>
        <v>50</v>
      </c>
      <c r="AY6" s="89">
        <f t="shared" si="6"/>
        <v>70</v>
      </c>
      <c r="AZ6" s="89">
        <f t="shared" si="6"/>
        <v>70</v>
      </c>
      <c r="BA6" s="89">
        <f t="shared" si="6"/>
        <v>70</v>
      </c>
      <c r="BB6" s="89">
        <f t="shared" si="7"/>
        <v>70</v>
      </c>
      <c r="BC6" s="89">
        <f t="shared" si="7"/>
        <v>70</v>
      </c>
      <c r="BD6" s="89">
        <f t="shared" si="7"/>
        <v>70</v>
      </c>
      <c r="BE6" s="89">
        <f t="shared" si="7"/>
        <v>70</v>
      </c>
      <c r="BF6" s="89">
        <f t="shared" si="7"/>
        <v>70</v>
      </c>
      <c r="BG6" s="89">
        <f t="shared" si="7"/>
        <v>70</v>
      </c>
      <c r="BH6" s="89">
        <f t="shared" si="7"/>
        <v>70</v>
      </c>
      <c r="BI6" s="89">
        <f t="shared" si="7"/>
        <v>70</v>
      </c>
      <c r="BJ6" s="89">
        <f t="shared" si="7"/>
        <v>70</v>
      </c>
      <c r="BK6" s="89">
        <f t="shared" si="7"/>
        <v>0</v>
      </c>
      <c r="BL6" s="89">
        <f t="shared" si="8"/>
        <v>0</v>
      </c>
      <c r="BM6" s="89">
        <f t="shared" si="8"/>
        <v>0</v>
      </c>
      <c r="BN6" s="89">
        <f t="shared" si="8"/>
        <v>0</v>
      </c>
      <c r="BO6" s="89">
        <f t="shared" si="8"/>
        <v>0</v>
      </c>
      <c r="BP6" s="89">
        <f t="shared" si="8"/>
        <v>0</v>
      </c>
      <c r="BQ6" s="89">
        <f t="shared" si="8"/>
        <v>0</v>
      </c>
      <c r="BR6" s="89">
        <f t="shared" si="8"/>
        <v>0</v>
      </c>
      <c r="BS6" s="89">
        <f t="shared" si="8"/>
        <v>0</v>
      </c>
      <c r="BT6" s="89">
        <f t="shared" si="8"/>
        <v>0</v>
      </c>
      <c r="BU6" s="89">
        <f t="shared" si="8"/>
        <v>0</v>
      </c>
      <c r="BV6" s="89">
        <f t="shared" si="8"/>
        <v>0</v>
      </c>
    </row>
    <row r="7" spans="2:74" ht="18.75" customHeight="1">
      <c r="B7" s="84" t="s">
        <v>150</v>
      </c>
      <c r="C7" s="85" t="s">
        <v>88</v>
      </c>
      <c r="D7" s="85" t="s">
        <v>339</v>
      </c>
      <c r="E7" s="84" t="s">
        <v>17</v>
      </c>
      <c r="F7" s="84" t="s">
        <v>322</v>
      </c>
      <c r="G7" s="86">
        <v>46023</v>
      </c>
      <c r="H7" s="87">
        <v>200</v>
      </c>
      <c r="I7" s="87">
        <v>400</v>
      </c>
      <c r="J7" s="87">
        <v>600</v>
      </c>
      <c r="K7" s="88">
        <f t="shared" si="0"/>
        <v>0</v>
      </c>
      <c r="L7" s="88">
        <f t="shared" si="1"/>
        <v>116.66666666666669</v>
      </c>
      <c r="M7" s="88">
        <f t="shared" si="2"/>
        <v>316.66666666666669</v>
      </c>
      <c r="N7" s="89">
        <f>IF($F7="FY表記",IF(OR(YEAR(N$4)+IF(MONTH(N$4)&gt;=8,1,0)-2025&lt;1,YEAR(N$4)+IF(MONTH(N$4)&gt;=8,1,0)-2025&gt;3),0,INDEX($H7:$J7,YEAR(N$4)+IF(MONTH(N$4)&gt;=8,1,0)-2025)/12),IF($F7="FY表記(在籍月割)",IF(OR(YEAR(N$4)+IF(MONTH(N$4)&gt;=8,1,0)-2025&lt;1,YEAR(N$4)+IF(MONTH(N$4)&gt;=8,1,0)-2025&gt;3,(YEAR(N$4)-YEAR($G7))*12+MONTH(N$4)-MONTH($G7)&lt;0),0,INDEX($H7:$J7,YEAR(N$4)+IF(MONTH(N$4)&gt;=8,1,0)-2025)/(12-MAX(0,(YEAR($G7)-2024-(YEAR(N$4)+IF(MONTH(N$4)&gt;=8,1,0)-2025))*12+MONTH($G7)-8))),IF(OR((YEAR(N$4)-YEAR($G7))*12+MONTH(N$4)-MONTH($G7)&lt;0,(YEAR(N$4)-YEAR($G7))*12+MONTH(N$4)-MONTH($G7)&gt;=36),0,INDEX($H7:$J7,INT(((YEAR(N$4)-YEAR($G7))*12+MONTH(N$4)-MONTH($G7))/12)+1)/12)))</f>
        <v>0</v>
      </c>
      <c r="O7" s="89">
        <f t="shared" si="3"/>
        <v>0</v>
      </c>
      <c r="P7" s="89">
        <f t="shared" si="3"/>
        <v>0</v>
      </c>
      <c r="Q7" s="89">
        <f t="shared" si="3"/>
        <v>0</v>
      </c>
      <c r="R7" s="89">
        <f t="shared" si="3"/>
        <v>0</v>
      </c>
      <c r="S7" s="89">
        <f t="shared" si="3"/>
        <v>0</v>
      </c>
      <c r="T7" s="89">
        <f t="shared" si="3"/>
        <v>0</v>
      </c>
      <c r="U7" s="89">
        <f t="shared" si="3"/>
        <v>0</v>
      </c>
      <c r="V7" s="89">
        <f t="shared" si="3"/>
        <v>0</v>
      </c>
      <c r="W7" s="89">
        <f t="shared" si="3"/>
        <v>0</v>
      </c>
      <c r="X7" s="89">
        <f t="shared" si="4"/>
        <v>0</v>
      </c>
      <c r="Y7" s="89">
        <f t="shared" si="4"/>
        <v>0</v>
      </c>
      <c r="Z7" s="89">
        <f t="shared" si="4"/>
        <v>0</v>
      </c>
      <c r="AA7" s="89">
        <f t="shared" si="4"/>
        <v>0</v>
      </c>
      <c r="AB7" s="89">
        <f t="shared" si="4"/>
        <v>0</v>
      </c>
      <c r="AC7" s="89">
        <f t="shared" si="4"/>
        <v>0</v>
      </c>
      <c r="AD7" s="89">
        <f t="shared" si="4"/>
        <v>0</v>
      </c>
      <c r="AE7" s="89">
        <f t="shared" si="4"/>
        <v>0</v>
      </c>
      <c r="AF7" s="89">
        <f t="shared" si="4"/>
        <v>16.666666666666668</v>
      </c>
      <c r="AG7" s="89">
        <f t="shared" si="4"/>
        <v>16.666666666666668</v>
      </c>
      <c r="AH7" s="89">
        <f t="shared" si="5"/>
        <v>16.666666666666668</v>
      </c>
      <c r="AI7" s="89">
        <f t="shared" si="5"/>
        <v>16.666666666666668</v>
      </c>
      <c r="AJ7" s="89">
        <f t="shared" si="5"/>
        <v>16.666666666666668</v>
      </c>
      <c r="AK7" s="89">
        <f t="shared" si="5"/>
        <v>16.666666666666668</v>
      </c>
      <c r="AL7" s="89">
        <f t="shared" si="5"/>
        <v>16.666666666666668</v>
      </c>
      <c r="AM7" s="89">
        <f t="shared" si="5"/>
        <v>16.666666666666668</v>
      </c>
      <c r="AN7" s="89">
        <f t="shared" si="5"/>
        <v>16.666666666666668</v>
      </c>
      <c r="AO7" s="89">
        <f t="shared" si="5"/>
        <v>16.666666666666668</v>
      </c>
      <c r="AP7" s="89">
        <f t="shared" si="5"/>
        <v>16.666666666666668</v>
      </c>
      <c r="AQ7" s="89">
        <f t="shared" si="5"/>
        <v>16.666666666666668</v>
      </c>
      <c r="AR7" s="89">
        <f t="shared" si="6"/>
        <v>33.333333333333336</v>
      </c>
      <c r="AS7" s="89">
        <f t="shared" si="6"/>
        <v>33.333333333333336</v>
      </c>
      <c r="AT7" s="89">
        <f t="shared" si="6"/>
        <v>33.333333333333336</v>
      </c>
      <c r="AU7" s="89">
        <f t="shared" si="6"/>
        <v>33.333333333333336</v>
      </c>
      <c r="AV7" s="89">
        <f t="shared" si="6"/>
        <v>33.333333333333336</v>
      </c>
      <c r="AW7" s="89">
        <f t="shared" si="6"/>
        <v>33.333333333333336</v>
      </c>
      <c r="AX7" s="89">
        <f t="shared" si="6"/>
        <v>33.333333333333336</v>
      </c>
      <c r="AY7" s="89">
        <f t="shared" si="6"/>
        <v>33.333333333333336</v>
      </c>
      <c r="AZ7" s="89">
        <f t="shared" si="6"/>
        <v>33.333333333333336</v>
      </c>
      <c r="BA7" s="89">
        <f t="shared" si="6"/>
        <v>33.333333333333336</v>
      </c>
      <c r="BB7" s="89">
        <f t="shared" si="7"/>
        <v>33.333333333333336</v>
      </c>
      <c r="BC7" s="89">
        <f t="shared" si="7"/>
        <v>33.333333333333336</v>
      </c>
      <c r="BD7" s="89">
        <f t="shared" si="7"/>
        <v>50</v>
      </c>
      <c r="BE7" s="89">
        <f t="shared" si="7"/>
        <v>50</v>
      </c>
      <c r="BF7" s="89">
        <f t="shared" si="7"/>
        <v>50</v>
      </c>
      <c r="BG7" s="89">
        <f t="shared" si="7"/>
        <v>50</v>
      </c>
      <c r="BH7" s="89">
        <f t="shared" si="7"/>
        <v>50</v>
      </c>
      <c r="BI7" s="89">
        <f t="shared" si="7"/>
        <v>50</v>
      </c>
      <c r="BJ7" s="89">
        <f t="shared" si="7"/>
        <v>50</v>
      </c>
      <c r="BK7" s="89">
        <f t="shared" si="7"/>
        <v>50</v>
      </c>
      <c r="BL7" s="89">
        <f t="shared" si="8"/>
        <v>50</v>
      </c>
      <c r="BM7" s="89">
        <f t="shared" si="8"/>
        <v>50</v>
      </c>
      <c r="BN7" s="89">
        <f t="shared" si="8"/>
        <v>50</v>
      </c>
      <c r="BO7" s="89">
        <f t="shared" si="8"/>
        <v>50</v>
      </c>
      <c r="BP7" s="89">
        <f t="shared" si="8"/>
        <v>0</v>
      </c>
      <c r="BQ7" s="89">
        <f t="shared" si="8"/>
        <v>0</v>
      </c>
      <c r="BR7" s="89">
        <f t="shared" si="8"/>
        <v>0</v>
      </c>
      <c r="BS7" s="89">
        <f t="shared" si="8"/>
        <v>0</v>
      </c>
      <c r="BT7" s="89">
        <f t="shared" si="8"/>
        <v>0</v>
      </c>
      <c r="BU7" s="89">
        <f t="shared" si="8"/>
        <v>0</v>
      </c>
      <c r="BV7" s="89">
        <f t="shared" si="8"/>
        <v>0</v>
      </c>
    </row>
    <row r="8" spans="2:74" ht="18.75" customHeight="1">
      <c r="B8" s="84" t="s">
        <v>150</v>
      </c>
      <c r="C8" s="85" t="s">
        <v>88</v>
      </c>
      <c r="D8" s="85" t="s">
        <v>339</v>
      </c>
      <c r="E8" s="85" t="s">
        <v>18</v>
      </c>
      <c r="F8" s="84" t="s">
        <v>322</v>
      </c>
      <c r="G8" s="86">
        <v>46023</v>
      </c>
      <c r="H8" s="87">
        <v>200</v>
      </c>
      <c r="I8" s="87">
        <v>400</v>
      </c>
      <c r="J8" s="87">
        <v>600</v>
      </c>
      <c r="K8" s="88">
        <f t="shared" si="0"/>
        <v>0</v>
      </c>
      <c r="L8" s="88">
        <f t="shared" si="1"/>
        <v>116.66666666666669</v>
      </c>
      <c r="M8" s="88">
        <f t="shared" si="2"/>
        <v>316.66666666666669</v>
      </c>
      <c r="N8" s="89">
        <f t="shared" si="3"/>
        <v>0</v>
      </c>
      <c r="O8" s="89">
        <f t="shared" si="3"/>
        <v>0</v>
      </c>
      <c r="P8" s="89">
        <f t="shared" si="3"/>
        <v>0</v>
      </c>
      <c r="Q8" s="89">
        <f t="shared" si="3"/>
        <v>0</v>
      </c>
      <c r="R8" s="89">
        <f t="shared" si="3"/>
        <v>0</v>
      </c>
      <c r="S8" s="89">
        <f t="shared" si="3"/>
        <v>0</v>
      </c>
      <c r="T8" s="89">
        <f t="shared" si="3"/>
        <v>0</v>
      </c>
      <c r="U8" s="89">
        <f t="shared" si="3"/>
        <v>0</v>
      </c>
      <c r="V8" s="89">
        <f t="shared" si="3"/>
        <v>0</v>
      </c>
      <c r="W8" s="89">
        <f t="shared" si="3"/>
        <v>0</v>
      </c>
      <c r="X8" s="89">
        <f t="shared" si="4"/>
        <v>0</v>
      </c>
      <c r="Y8" s="89">
        <f t="shared" si="4"/>
        <v>0</v>
      </c>
      <c r="Z8" s="89">
        <f t="shared" si="4"/>
        <v>0</v>
      </c>
      <c r="AA8" s="89">
        <f t="shared" si="4"/>
        <v>0</v>
      </c>
      <c r="AB8" s="89">
        <f t="shared" si="4"/>
        <v>0</v>
      </c>
      <c r="AC8" s="89">
        <f t="shared" si="4"/>
        <v>0</v>
      </c>
      <c r="AD8" s="89">
        <f t="shared" si="4"/>
        <v>0</v>
      </c>
      <c r="AE8" s="89">
        <f t="shared" si="4"/>
        <v>0</v>
      </c>
      <c r="AF8" s="89">
        <f t="shared" si="4"/>
        <v>16.666666666666668</v>
      </c>
      <c r="AG8" s="89">
        <f t="shared" si="4"/>
        <v>16.666666666666668</v>
      </c>
      <c r="AH8" s="89">
        <f t="shared" si="5"/>
        <v>16.666666666666668</v>
      </c>
      <c r="AI8" s="89">
        <f t="shared" si="5"/>
        <v>16.666666666666668</v>
      </c>
      <c r="AJ8" s="89">
        <f t="shared" si="5"/>
        <v>16.666666666666668</v>
      </c>
      <c r="AK8" s="89">
        <f t="shared" si="5"/>
        <v>16.666666666666668</v>
      </c>
      <c r="AL8" s="89">
        <f t="shared" si="5"/>
        <v>16.666666666666668</v>
      </c>
      <c r="AM8" s="89">
        <f t="shared" si="5"/>
        <v>16.666666666666668</v>
      </c>
      <c r="AN8" s="89">
        <f t="shared" si="5"/>
        <v>16.666666666666668</v>
      </c>
      <c r="AO8" s="89">
        <f t="shared" si="5"/>
        <v>16.666666666666668</v>
      </c>
      <c r="AP8" s="89">
        <f t="shared" si="5"/>
        <v>16.666666666666668</v>
      </c>
      <c r="AQ8" s="89">
        <f t="shared" si="5"/>
        <v>16.666666666666668</v>
      </c>
      <c r="AR8" s="89">
        <f t="shared" si="6"/>
        <v>33.333333333333336</v>
      </c>
      <c r="AS8" s="89">
        <f t="shared" si="6"/>
        <v>33.333333333333336</v>
      </c>
      <c r="AT8" s="89">
        <f t="shared" si="6"/>
        <v>33.333333333333336</v>
      </c>
      <c r="AU8" s="89">
        <f t="shared" si="6"/>
        <v>33.333333333333336</v>
      </c>
      <c r="AV8" s="89">
        <f t="shared" si="6"/>
        <v>33.333333333333336</v>
      </c>
      <c r="AW8" s="89">
        <f t="shared" si="6"/>
        <v>33.333333333333336</v>
      </c>
      <c r="AX8" s="89">
        <f t="shared" si="6"/>
        <v>33.333333333333336</v>
      </c>
      <c r="AY8" s="89">
        <f t="shared" si="6"/>
        <v>33.333333333333336</v>
      </c>
      <c r="AZ8" s="89">
        <f t="shared" si="6"/>
        <v>33.333333333333336</v>
      </c>
      <c r="BA8" s="89">
        <f t="shared" si="6"/>
        <v>33.333333333333336</v>
      </c>
      <c r="BB8" s="89">
        <f t="shared" si="7"/>
        <v>33.333333333333336</v>
      </c>
      <c r="BC8" s="89">
        <f t="shared" si="7"/>
        <v>33.333333333333336</v>
      </c>
      <c r="BD8" s="89">
        <f t="shared" si="7"/>
        <v>50</v>
      </c>
      <c r="BE8" s="89">
        <f t="shared" si="7"/>
        <v>50</v>
      </c>
      <c r="BF8" s="89">
        <f t="shared" si="7"/>
        <v>50</v>
      </c>
      <c r="BG8" s="89">
        <f t="shared" si="7"/>
        <v>50</v>
      </c>
      <c r="BH8" s="89">
        <f t="shared" si="7"/>
        <v>50</v>
      </c>
      <c r="BI8" s="89">
        <f t="shared" si="7"/>
        <v>50</v>
      </c>
      <c r="BJ8" s="89">
        <f t="shared" si="7"/>
        <v>50</v>
      </c>
      <c r="BK8" s="89">
        <f t="shared" si="7"/>
        <v>50</v>
      </c>
      <c r="BL8" s="89">
        <f t="shared" si="8"/>
        <v>50</v>
      </c>
      <c r="BM8" s="89">
        <f t="shared" si="8"/>
        <v>50</v>
      </c>
      <c r="BN8" s="89">
        <f t="shared" si="8"/>
        <v>50</v>
      </c>
      <c r="BO8" s="89">
        <f t="shared" si="8"/>
        <v>50</v>
      </c>
      <c r="BP8" s="89">
        <f t="shared" si="8"/>
        <v>0</v>
      </c>
      <c r="BQ8" s="89">
        <f t="shared" si="8"/>
        <v>0</v>
      </c>
      <c r="BR8" s="89">
        <f t="shared" si="8"/>
        <v>0</v>
      </c>
      <c r="BS8" s="89">
        <f t="shared" si="8"/>
        <v>0</v>
      </c>
      <c r="BT8" s="89">
        <f t="shared" si="8"/>
        <v>0</v>
      </c>
      <c r="BU8" s="89">
        <f t="shared" si="8"/>
        <v>0</v>
      </c>
      <c r="BV8" s="89">
        <f t="shared" si="8"/>
        <v>0</v>
      </c>
    </row>
    <row r="9" spans="2:74" ht="18.75" customHeight="1">
      <c r="B9" s="84" t="s">
        <v>203</v>
      </c>
      <c r="C9" s="85" t="s">
        <v>88</v>
      </c>
      <c r="D9" s="85" t="s">
        <v>339</v>
      </c>
      <c r="E9" s="85" t="s">
        <v>18</v>
      </c>
      <c r="F9" s="84" t="s">
        <v>322</v>
      </c>
      <c r="G9" s="86">
        <v>46113</v>
      </c>
      <c r="H9" s="87">
        <v>200</v>
      </c>
      <c r="I9" s="87">
        <v>400</v>
      </c>
      <c r="J9" s="87">
        <v>600</v>
      </c>
      <c r="K9" s="88">
        <f t="shared" si="0"/>
        <v>0</v>
      </c>
      <c r="L9" s="88">
        <f t="shared" si="1"/>
        <v>66.666666666666671</v>
      </c>
      <c r="M9" s="88">
        <f t="shared" si="2"/>
        <v>266.66666666666669</v>
      </c>
      <c r="N9" s="89">
        <f t="shared" si="3"/>
        <v>0</v>
      </c>
      <c r="O9" s="89">
        <f t="shared" si="3"/>
        <v>0</v>
      </c>
      <c r="P9" s="89">
        <f t="shared" si="3"/>
        <v>0</v>
      </c>
      <c r="Q9" s="89">
        <f t="shared" si="3"/>
        <v>0</v>
      </c>
      <c r="R9" s="89">
        <f t="shared" si="3"/>
        <v>0</v>
      </c>
      <c r="S9" s="89">
        <f t="shared" si="3"/>
        <v>0</v>
      </c>
      <c r="T9" s="89">
        <f t="shared" si="3"/>
        <v>0</v>
      </c>
      <c r="U9" s="89">
        <f t="shared" si="3"/>
        <v>0</v>
      </c>
      <c r="V9" s="89">
        <f t="shared" si="3"/>
        <v>0</v>
      </c>
      <c r="W9" s="89">
        <f t="shared" si="3"/>
        <v>0</v>
      </c>
      <c r="X9" s="89">
        <f t="shared" si="4"/>
        <v>0</v>
      </c>
      <c r="Y9" s="89">
        <f t="shared" si="4"/>
        <v>0</v>
      </c>
      <c r="Z9" s="89">
        <f t="shared" si="4"/>
        <v>0</v>
      </c>
      <c r="AA9" s="89">
        <f t="shared" si="4"/>
        <v>0</v>
      </c>
      <c r="AB9" s="89">
        <f t="shared" si="4"/>
        <v>0</v>
      </c>
      <c r="AC9" s="89">
        <f t="shared" si="4"/>
        <v>0</v>
      </c>
      <c r="AD9" s="89">
        <f t="shared" si="4"/>
        <v>0</v>
      </c>
      <c r="AE9" s="89">
        <f t="shared" si="4"/>
        <v>0</v>
      </c>
      <c r="AF9" s="89">
        <f t="shared" si="4"/>
        <v>0</v>
      </c>
      <c r="AG9" s="89">
        <f t="shared" si="4"/>
        <v>0</v>
      </c>
      <c r="AH9" s="89">
        <f t="shared" si="5"/>
        <v>0</v>
      </c>
      <c r="AI9" s="89">
        <f t="shared" si="5"/>
        <v>16.666666666666668</v>
      </c>
      <c r="AJ9" s="89">
        <f t="shared" si="5"/>
        <v>16.666666666666668</v>
      </c>
      <c r="AK9" s="89">
        <f t="shared" si="5"/>
        <v>16.666666666666668</v>
      </c>
      <c r="AL9" s="89">
        <f t="shared" si="5"/>
        <v>16.666666666666668</v>
      </c>
      <c r="AM9" s="89">
        <f t="shared" si="5"/>
        <v>16.666666666666668</v>
      </c>
      <c r="AN9" s="89">
        <f t="shared" si="5"/>
        <v>16.666666666666668</v>
      </c>
      <c r="AO9" s="89">
        <f t="shared" si="5"/>
        <v>16.666666666666668</v>
      </c>
      <c r="AP9" s="89">
        <f t="shared" si="5"/>
        <v>16.666666666666668</v>
      </c>
      <c r="AQ9" s="89">
        <f t="shared" si="5"/>
        <v>16.666666666666668</v>
      </c>
      <c r="AR9" s="89">
        <f t="shared" si="6"/>
        <v>16.666666666666668</v>
      </c>
      <c r="AS9" s="89">
        <f t="shared" si="6"/>
        <v>16.666666666666668</v>
      </c>
      <c r="AT9" s="89">
        <f t="shared" si="6"/>
        <v>16.666666666666668</v>
      </c>
      <c r="AU9" s="89">
        <f t="shared" si="6"/>
        <v>33.333333333333336</v>
      </c>
      <c r="AV9" s="89">
        <f t="shared" si="6"/>
        <v>33.333333333333336</v>
      </c>
      <c r="AW9" s="89">
        <f t="shared" si="6"/>
        <v>33.333333333333336</v>
      </c>
      <c r="AX9" s="89">
        <f t="shared" si="6"/>
        <v>33.333333333333336</v>
      </c>
      <c r="AY9" s="89">
        <f t="shared" si="6"/>
        <v>33.333333333333336</v>
      </c>
      <c r="AZ9" s="89">
        <f t="shared" si="6"/>
        <v>33.333333333333336</v>
      </c>
      <c r="BA9" s="89">
        <f t="shared" si="6"/>
        <v>33.333333333333336</v>
      </c>
      <c r="BB9" s="89">
        <f t="shared" si="7"/>
        <v>33.333333333333336</v>
      </c>
      <c r="BC9" s="89">
        <f t="shared" si="7"/>
        <v>33.333333333333336</v>
      </c>
      <c r="BD9" s="89">
        <f t="shared" si="7"/>
        <v>33.333333333333336</v>
      </c>
      <c r="BE9" s="89">
        <f t="shared" si="7"/>
        <v>33.333333333333336</v>
      </c>
      <c r="BF9" s="89">
        <f t="shared" si="7"/>
        <v>33.333333333333336</v>
      </c>
      <c r="BG9" s="89">
        <f t="shared" si="7"/>
        <v>50</v>
      </c>
      <c r="BH9" s="89">
        <f t="shared" si="7"/>
        <v>50</v>
      </c>
      <c r="BI9" s="89">
        <f t="shared" si="7"/>
        <v>50</v>
      </c>
      <c r="BJ9" s="89">
        <f t="shared" si="7"/>
        <v>50</v>
      </c>
      <c r="BK9" s="89">
        <f t="shared" si="7"/>
        <v>50</v>
      </c>
      <c r="BL9" s="89">
        <f t="shared" si="8"/>
        <v>50</v>
      </c>
      <c r="BM9" s="89">
        <f t="shared" si="8"/>
        <v>50</v>
      </c>
      <c r="BN9" s="89">
        <f t="shared" si="8"/>
        <v>50</v>
      </c>
      <c r="BO9" s="89">
        <f t="shared" si="8"/>
        <v>50</v>
      </c>
      <c r="BP9" s="89">
        <f t="shared" si="8"/>
        <v>50</v>
      </c>
      <c r="BQ9" s="89">
        <f t="shared" si="8"/>
        <v>50</v>
      </c>
      <c r="BR9" s="89">
        <f t="shared" si="8"/>
        <v>50</v>
      </c>
      <c r="BS9" s="89">
        <f t="shared" si="8"/>
        <v>0</v>
      </c>
      <c r="BT9" s="89">
        <f t="shared" si="8"/>
        <v>0</v>
      </c>
      <c r="BU9" s="89">
        <f t="shared" si="8"/>
        <v>0</v>
      </c>
      <c r="BV9" s="89">
        <f t="shared" si="8"/>
        <v>0</v>
      </c>
    </row>
    <row r="10" spans="2:74" ht="18.75" customHeight="1">
      <c r="B10" s="84" t="s">
        <v>138</v>
      </c>
      <c r="C10" s="85" t="s">
        <v>88</v>
      </c>
      <c r="D10" s="85" t="s">
        <v>253</v>
      </c>
      <c r="E10" s="84" t="s">
        <v>17</v>
      </c>
      <c r="F10" s="84" t="s">
        <v>322</v>
      </c>
      <c r="G10" s="86">
        <v>45931</v>
      </c>
      <c r="H10" s="87">
        <v>50</v>
      </c>
      <c r="I10" s="87">
        <v>150</v>
      </c>
      <c r="J10" s="87">
        <v>250</v>
      </c>
      <c r="K10" s="88">
        <f t="shared" si="0"/>
        <v>0</v>
      </c>
      <c r="L10" s="88">
        <f t="shared" si="1"/>
        <v>41.666666666666664</v>
      </c>
      <c r="M10" s="88">
        <f t="shared" si="2"/>
        <v>133.33333333333334</v>
      </c>
      <c r="N10" s="89">
        <f t="shared" si="3"/>
        <v>0</v>
      </c>
      <c r="O10" s="89">
        <f t="shared" si="3"/>
        <v>0</v>
      </c>
      <c r="P10" s="89">
        <f t="shared" si="3"/>
        <v>0</v>
      </c>
      <c r="Q10" s="89">
        <f t="shared" si="3"/>
        <v>0</v>
      </c>
      <c r="R10" s="89">
        <f t="shared" si="3"/>
        <v>0</v>
      </c>
      <c r="S10" s="89">
        <f t="shared" si="3"/>
        <v>0</v>
      </c>
      <c r="T10" s="89">
        <f t="shared" si="3"/>
        <v>0</v>
      </c>
      <c r="U10" s="89">
        <f t="shared" si="3"/>
        <v>0</v>
      </c>
      <c r="V10" s="89">
        <f t="shared" si="3"/>
        <v>0</v>
      </c>
      <c r="W10" s="89">
        <f t="shared" si="3"/>
        <v>0</v>
      </c>
      <c r="X10" s="89">
        <f t="shared" si="4"/>
        <v>0</v>
      </c>
      <c r="Y10" s="89">
        <f t="shared" si="4"/>
        <v>0</v>
      </c>
      <c r="Z10" s="89">
        <f t="shared" si="4"/>
        <v>0</v>
      </c>
      <c r="AA10" s="89">
        <f t="shared" si="4"/>
        <v>0</v>
      </c>
      <c r="AB10" s="89">
        <f t="shared" si="4"/>
        <v>0</v>
      </c>
      <c r="AC10" s="89">
        <f t="shared" si="4"/>
        <v>4.166666666666667</v>
      </c>
      <c r="AD10" s="89">
        <f t="shared" si="4"/>
        <v>4.166666666666667</v>
      </c>
      <c r="AE10" s="89">
        <f t="shared" si="4"/>
        <v>4.166666666666667</v>
      </c>
      <c r="AF10" s="89">
        <f t="shared" si="4"/>
        <v>4.166666666666667</v>
      </c>
      <c r="AG10" s="89">
        <f t="shared" si="4"/>
        <v>4.166666666666667</v>
      </c>
      <c r="AH10" s="89">
        <f t="shared" si="5"/>
        <v>4.166666666666667</v>
      </c>
      <c r="AI10" s="89">
        <f t="shared" si="5"/>
        <v>4.166666666666667</v>
      </c>
      <c r="AJ10" s="89">
        <f t="shared" si="5"/>
        <v>4.166666666666667</v>
      </c>
      <c r="AK10" s="89">
        <f t="shared" si="5"/>
        <v>4.166666666666667</v>
      </c>
      <c r="AL10" s="89">
        <f t="shared" si="5"/>
        <v>4.166666666666667</v>
      </c>
      <c r="AM10" s="89">
        <f t="shared" si="5"/>
        <v>4.166666666666667</v>
      </c>
      <c r="AN10" s="89">
        <f t="shared" si="5"/>
        <v>4.166666666666667</v>
      </c>
      <c r="AO10" s="89">
        <f t="shared" si="5"/>
        <v>12.5</v>
      </c>
      <c r="AP10" s="89">
        <f t="shared" si="5"/>
        <v>12.5</v>
      </c>
      <c r="AQ10" s="89">
        <f t="shared" si="5"/>
        <v>12.5</v>
      </c>
      <c r="AR10" s="89">
        <f t="shared" si="6"/>
        <v>12.5</v>
      </c>
      <c r="AS10" s="89">
        <f t="shared" si="6"/>
        <v>12.5</v>
      </c>
      <c r="AT10" s="89">
        <f t="shared" si="6"/>
        <v>12.5</v>
      </c>
      <c r="AU10" s="89">
        <f t="shared" si="6"/>
        <v>12.5</v>
      </c>
      <c r="AV10" s="89">
        <f t="shared" si="6"/>
        <v>12.5</v>
      </c>
      <c r="AW10" s="89">
        <f t="shared" si="6"/>
        <v>12.5</v>
      </c>
      <c r="AX10" s="89">
        <f t="shared" si="6"/>
        <v>12.5</v>
      </c>
      <c r="AY10" s="89">
        <f t="shared" si="6"/>
        <v>12.5</v>
      </c>
      <c r="AZ10" s="89">
        <f t="shared" si="6"/>
        <v>12.5</v>
      </c>
      <c r="BA10" s="89">
        <f t="shared" si="6"/>
        <v>20.833333333333332</v>
      </c>
      <c r="BB10" s="89">
        <f t="shared" si="7"/>
        <v>20.833333333333332</v>
      </c>
      <c r="BC10" s="89">
        <f t="shared" si="7"/>
        <v>20.833333333333332</v>
      </c>
      <c r="BD10" s="89">
        <f t="shared" si="7"/>
        <v>20.833333333333332</v>
      </c>
      <c r="BE10" s="89">
        <f t="shared" si="7"/>
        <v>20.833333333333332</v>
      </c>
      <c r="BF10" s="89">
        <f t="shared" si="7"/>
        <v>20.833333333333332</v>
      </c>
      <c r="BG10" s="89">
        <f t="shared" si="7"/>
        <v>20.833333333333332</v>
      </c>
      <c r="BH10" s="89">
        <f t="shared" si="7"/>
        <v>20.833333333333332</v>
      </c>
      <c r="BI10" s="89">
        <f t="shared" si="7"/>
        <v>20.833333333333332</v>
      </c>
      <c r="BJ10" s="89">
        <f t="shared" si="7"/>
        <v>20.833333333333332</v>
      </c>
      <c r="BK10" s="89">
        <f t="shared" si="7"/>
        <v>20.833333333333332</v>
      </c>
      <c r="BL10" s="89">
        <f t="shared" si="8"/>
        <v>20.833333333333332</v>
      </c>
      <c r="BM10" s="89">
        <f t="shared" si="8"/>
        <v>0</v>
      </c>
      <c r="BN10" s="89">
        <f t="shared" si="8"/>
        <v>0</v>
      </c>
      <c r="BO10" s="89">
        <f t="shared" si="8"/>
        <v>0</v>
      </c>
      <c r="BP10" s="89">
        <f t="shared" si="8"/>
        <v>0</v>
      </c>
      <c r="BQ10" s="89">
        <f t="shared" si="8"/>
        <v>0</v>
      </c>
      <c r="BR10" s="89">
        <f t="shared" si="8"/>
        <v>0</v>
      </c>
      <c r="BS10" s="89">
        <f t="shared" si="8"/>
        <v>0</v>
      </c>
      <c r="BT10" s="89">
        <f t="shared" si="8"/>
        <v>0</v>
      </c>
      <c r="BU10" s="89">
        <f t="shared" si="8"/>
        <v>0</v>
      </c>
      <c r="BV10" s="89">
        <f t="shared" si="8"/>
        <v>0</v>
      </c>
    </row>
    <row r="11" spans="2:74" ht="18.75" customHeight="1">
      <c r="B11" s="84" t="s">
        <v>138</v>
      </c>
      <c r="C11" s="85" t="s">
        <v>88</v>
      </c>
      <c r="D11" s="85" t="s">
        <v>253</v>
      </c>
      <c r="E11" s="85" t="s">
        <v>18</v>
      </c>
      <c r="F11" s="84" t="s">
        <v>322</v>
      </c>
      <c r="G11" s="86">
        <v>45931</v>
      </c>
      <c r="H11" s="87">
        <v>150</v>
      </c>
      <c r="I11" s="87">
        <v>300</v>
      </c>
      <c r="J11" s="87">
        <v>400</v>
      </c>
      <c r="K11" s="88">
        <f t="shared" si="0"/>
        <v>0</v>
      </c>
      <c r="L11" s="88">
        <f t="shared" si="1"/>
        <v>125</v>
      </c>
      <c r="M11" s="88">
        <f t="shared" si="2"/>
        <v>275</v>
      </c>
      <c r="N11" s="89">
        <f t="shared" si="3"/>
        <v>0</v>
      </c>
      <c r="O11" s="89">
        <f t="shared" si="3"/>
        <v>0</v>
      </c>
      <c r="P11" s="89">
        <f t="shared" si="3"/>
        <v>0</v>
      </c>
      <c r="Q11" s="89">
        <f t="shared" si="3"/>
        <v>0</v>
      </c>
      <c r="R11" s="89">
        <f t="shared" si="3"/>
        <v>0</v>
      </c>
      <c r="S11" s="89">
        <f t="shared" si="3"/>
        <v>0</v>
      </c>
      <c r="T11" s="89">
        <f t="shared" si="3"/>
        <v>0</v>
      </c>
      <c r="U11" s="89">
        <f t="shared" si="3"/>
        <v>0</v>
      </c>
      <c r="V11" s="89">
        <f t="shared" si="3"/>
        <v>0</v>
      </c>
      <c r="W11" s="89">
        <f t="shared" si="3"/>
        <v>0</v>
      </c>
      <c r="X11" s="89">
        <f t="shared" si="4"/>
        <v>0</v>
      </c>
      <c r="Y11" s="89">
        <f t="shared" si="4"/>
        <v>0</v>
      </c>
      <c r="Z11" s="89">
        <f t="shared" si="4"/>
        <v>0</v>
      </c>
      <c r="AA11" s="89">
        <f t="shared" si="4"/>
        <v>0</v>
      </c>
      <c r="AB11" s="89">
        <f t="shared" si="4"/>
        <v>0</v>
      </c>
      <c r="AC11" s="89">
        <f t="shared" si="4"/>
        <v>12.5</v>
      </c>
      <c r="AD11" s="89">
        <f t="shared" si="4"/>
        <v>12.5</v>
      </c>
      <c r="AE11" s="89">
        <f t="shared" si="4"/>
        <v>12.5</v>
      </c>
      <c r="AF11" s="89">
        <f t="shared" si="4"/>
        <v>12.5</v>
      </c>
      <c r="AG11" s="89">
        <f t="shared" si="4"/>
        <v>12.5</v>
      </c>
      <c r="AH11" s="89">
        <f t="shared" si="5"/>
        <v>12.5</v>
      </c>
      <c r="AI11" s="89">
        <f t="shared" si="5"/>
        <v>12.5</v>
      </c>
      <c r="AJ11" s="89">
        <f t="shared" si="5"/>
        <v>12.5</v>
      </c>
      <c r="AK11" s="89">
        <f t="shared" si="5"/>
        <v>12.5</v>
      </c>
      <c r="AL11" s="89">
        <f t="shared" si="5"/>
        <v>12.5</v>
      </c>
      <c r="AM11" s="89">
        <f t="shared" si="5"/>
        <v>12.5</v>
      </c>
      <c r="AN11" s="89">
        <f t="shared" si="5"/>
        <v>12.5</v>
      </c>
      <c r="AO11" s="89">
        <f t="shared" si="5"/>
        <v>25</v>
      </c>
      <c r="AP11" s="89">
        <f t="shared" si="5"/>
        <v>25</v>
      </c>
      <c r="AQ11" s="89">
        <f t="shared" si="5"/>
        <v>25</v>
      </c>
      <c r="AR11" s="89">
        <f t="shared" si="6"/>
        <v>25</v>
      </c>
      <c r="AS11" s="89">
        <f t="shared" si="6"/>
        <v>25</v>
      </c>
      <c r="AT11" s="89">
        <f t="shared" si="6"/>
        <v>25</v>
      </c>
      <c r="AU11" s="89">
        <f t="shared" si="6"/>
        <v>25</v>
      </c>
      <c r="AV11" s="89">
        <f t="shared" si="6"/>
        <v>25</v>
      </c>
      <c r="AW11" s="89">
        <f t="shared" si="6"/>
        <v>25</v>
      </c>
      <c r="AX11" s="89">
        <f t="shared" si="6"/>
        <v>25</v>
      </c>
      <c r="AY11" s="89">
        <f t="shared" si="6"/>
        <v>25</v>
      </c>
      <c r="AZ11" s="89">
        <f t="shared" si="6"/>
        <v>25</v>
      </c>
      <c r="BA11" s="89">
        <f t="shared" si="6"/>
        <v>33.333333333333336</v>
      </c>
      <c r="BB11" s="89">
        <f t="shared" si="7"/>
        <v>33.333333333333336</v>
      </c>
      <c r="BC11" s="89">
        <f t="shared" si="7"/>
        <v>33.333333333333336</v>
      </c>
      <c r="BD11" s="89">
        <f t="shared" si="7"/>
        <v>33.333333333333336</v>
      </c>
      <c r="BE11" s="89">
        <f t="shared" si="7"/>
        <v>33.333333333333336</v>
      </c>
      <c r="BF11" s="89">
        <f t="shared" si="7"/>
        <v>33.333333333333336</v>
      </c>
      <c r="BG11" s="89">
        <f t="shared" si="7"/>
        <v>33.333333333333336</v>
      </c>
      <c r="BH11" s="89">
        <f t="shared" si="7"/>
        <v>33.333333333333336</v>
      </c>
      <c r="BI11" s="89">
        <f t="shared" si="7"/>
        <v>33.333333333333336</v>
      </c>
      <c r="BJ11" s="89">
        <f t="shared" si="7"/>
        <v>33.333333333333336</v>
      </c>
      <c r="BK11" s="89">
        <f t="shared" si="7"/>
        <v>33.333333333333336</v>
      </c>
      <c r="BL11" s="89">
        <f t="shared" si="8"/>
        <v>33.333333333333336</v>
      </c>
      <c r="BM11" s="89">
        <f t="shared" si="8"/>
        <v>0</v>
      </c>
      <c r="BN11" s="89">
        <f t="shared" si="8"/>
        <v>0</v>
      </c>
      <c r="BO11" s="89">
        <f t="shared" si="8"/>
        <v>0</v>
      </c>
      <c r="BP11" s="89">
        <f t="shared" si="8"/>
        <v>0</v>
      </c>
      <c r="BQ11" s="89">
        <f t="shared" si="8"/>
        <v>0</v>
      </c>
      <c r="BR11" s="89">
        <f t="shared" si="8"/>
        <v>0</v>
      </c>
      <c r="BS11" s="89">
        <f t="shared" si="8"/>
        <v>0</v>
      </c>
      <c r="BT11" s="89">
        <f t="shared" si="8"/>
        <v>0</v>
      </c>
      <c r="BU11" s="89">
        <f t="shared" si="8"/>
        <v>0</v>
      </c>
      <c r="BV11" s="89">
        <f t="shared" si="8"/>
        <v>0</v>
      </c>
    </row>
    <row r="12" spans="2:74" ht="18.75" customHeight="1">
      <c r="B12" s="84" t="s">
        <v>126</v>
      </c>
      <c r="C12" s="85" t="s">
        <v>88</v>
      </c>
      <c r="D12" s="85" t="s">
        <v>323</v>
      </c>
      <c r="E12" s="84" t="s">
        <v>17</v>
      </c>
      <c r="F12" s="85" t="s">
        <v>321</v>
      </c>
      <c r="G12" s="86">
        <v>45992</v>
      </c>
      <c r="H12" s="87">
        <v>330</v>
      </c>
      <c r="I12" s="87">
        <v>660</v>
      </c>
      <c r="J12" s="87">
        <v>1126</v>
      </c>
      <c r="K12" s="88">
        <f t="shared" si="0"/>
        <v>0</v>
      </c>
      <c r="L12" s="88">
        <f t="shared" si="1"/>
        <v>220</v>
      </c>
      <c r="M12" s="88">
        <f t="shared" si="2"/>
        <v>660</v>
      </c>
      <c r="N12" s="89">
        <f t="shared" si="3"/>
        <v>0</v>
      </c>
      <c r="O12" s="89">
        <f t="shared" si="3"/>
        <v>0</v>
      </c>
      <c r="P12" s="89">
        <f t="shared" si="3"/>
        <v>0</v>
      </c>
      <c r="Q12" s="89">
        <f t="shared" si="3"/>
        <v>0</v>
      </c>
      <c r="R12" s="89">
        <f t="shared" si="3"/>
        <v>0</v>
      </c>
      <c r="S12" s="89">
        <f t="shared" si="3"/>
        <v>0</v>
      </c>
      <c r="T12" s="89">
        <f t="shared" si="3"/>
        <v>0</v>
      </c>
      <c r="U12" s="89">
        <f t="shared" si="3"/>
        <v>0</v>
      </c>
      <c r="V12" s="89">
        <f t="shared" si="3"/>
        <v>0</v>
      </c>
      <c r="W12" s="89">
        <f t="shared" si="3"/>
        <v>0</v>
      </c>
      <c r="X12" s="89">
        <f t="shared" si="4"/>
        <v>0</v>
      </c>
      <c r="Y12" s="89">
        <f t="shared" si="4"/>
        <v>0</v>
      </c>
      <c r="Z12" s="89">
        <f t="shared" si="4"/>
        <v>0</v>
      </c>
      <c r="AA12" s="89">
        <f t="shared" si="4"/>
        <v>27.5</v>
      </c>
      <c r="AB12" s="89">
        <f t="shared" si="4"/>
        <v>27.5</v>
      </c>
      <c r="AC12" s="89">
        <f t="shared" si="4"/>
        <v>27.5</v>
      </c>
      <c r="AD12" s="89">
        <f t="shared" si="4"/>
        <v>27.5</v>
      </c>
      <c r="AE12" s="89">
        <f t="shared" si="4"/>
        <v>27.5</v>
      </c>
      <c r="AF12" s="89">
        <f t="shared" si="4"/>
        <v>27.5</v>
      </c>
      <c r="AG12" s="89">
        <f t="shared" si="4"/>
        <v>27.5</v>
      </c>
      <c r="AH12" s="89">
        <f t="shared" si="5"/>
        <v>27.5</v>
      </c>
      <c r="AI12" s="89">
        <f t="shared" si="5"/>
        <v>27.5</v>
      </c>
      <c r="AJ12" s="89">
        <f t="shared" si="5"/>
        <v>27.5</v>
      </c>
      <c r="AK12" s="89">
        <f t="shared" si="5"/>
        <v>27.5</v>
      </c>
      <c r="AL12" s="89">
        <f t="shared" si="5"/>
        <v>27.5</v>
      </c>
      <c r="AM12" s="89">
        <f t="shared" si="5"/>
        <v>55</v>
      </c>
      <c r="AN12" s="89">
        <f t="shared" si="5"/>
        <v>55</v>
      </c>
      <c r="AO12" s="89">
        <f t="shared" si="5"/>
        <v>55</v>
      </c>
      <c r="AP12" s="89">
        <f t="shared" si="5"/>
        <v>55</v>
      </c>
      <c r="AQ12" s="89">
        <f t="shared" si="5"/>
        <v>55</v>
      </c>
      <c r="AR12" s="89">
        <f t="shared" si="6"/>
        <v>55</v>
      </c>
      <c r="AS12" s="89">
        <f t="shared" si="6"/>
        <v>55</v>
      </c>
      <c r="AT12" s="89">
        <f t="shared" si="6"/>
        <v>55</v>
      </c>
      <c r="AU12" s="89">
        <f t="shared" si="6"/>
        <v>55</v>
      </c>
      <c r="AV12" s="89">
        <f t="shared" si="6"/>
        <v>55</v>
      </c>
      <c r="AW12" s="89">
        <f t="shared" si="6"/>
        <v>55</v>
      </c>
      <c r="AX12" s="89">
        <f t="shared" si="6"/>
        <v>55</v>
      </c>
      <c r="AY12" s="89">
        <f t="shared" si="6"/>
        <v>93.833333333333329</v>
      </c>
      <c r="AZ12" s="89">
        <f t="shared" si="6"/>
        <v>93.833333333333329</v>
      </c>
      <c r="BA12" s="89">
        <f t="shared" si="6"/>
        <v>93.833333333333329</v>
      </c>
      <c r="BB12" s="89">
        <f t="shared" si="7"/>
        <v>93.833333333333329</v>
      </c>
      <c r="BC12" s="89">
        <f t="shared" si="7"/>
        <v>93.833333333333329</v>
      </c>
      <c r="BD12" s="89">
        <f t="shared" si="7"/>
        <v>93.833333333333329</v>
      </c>
      <c r="BE12" s="89">
        <f t="shared" si="7"/>
        <v>93.833333333333329</v>
      </c>
      <c r="BF12" s="89">
        <f t="shared" si="7"/>
        <v>93.833333333333329</v>
      </c>
      <c r="BG12" s="89">
        <f t="shared" si="7"/>
        <v>93.833333333333329</v>
      </c>
      <c r="BH12" s="89">
        <f t="shared" si="7"/>
        <v>93.833333333333329</v>
      </c>
      <c r="BI12" s="89">
        <f t="shared" si="7"/>
        <v>93.833333333333329</v>
      </c>
      <c r="BJ12" s="89">
        <f t="shared" si="7"/>
        <v>93.833333333333329</v>
      </c>
      <c r="BK12" s="89">
        <f t="shared" si="7"/>
        <v>0</v>
      </c>
      <c r="BL12" s="89">
        <f t="shared" si="8"/>
        <v>0</v>
      </c>
      <c r="BM12" s="89">
        <f t="shared" si="8"/>
        <v>0</v>
      </c>
      <c r="BN12" s="89">
        <f t="shared" si="8"/>
        <v>0</v>
      </c>
      <c r="BO12" s="89">
        <f t="shared" si="8"/>
        <v>0</v>
      </c>
      <c r="BP12" s="89">
        <f t="shared" si="8"/>
        <v>0</v>
      </c>
      <c r="BQ12" s="89">
        <f t="shared" si="8"/>
        <v>0</v>
      </c>
      <c r="BR12" s="89">
        <f t="shared" si="8"/>
        <v>0</v>
      </c>
      <c r="BS12" s="89">
        <f t="shared" si="8"/>
        <v>0</v>
      </c>
      <c r="BT12" s="89">
        <f t="shared" si="8"/>
        <v>0</v>
      </c>
      <c r="BU12" s="89">
        <f t="shared" si="8"/>
        <v>0</v>
      </c>
      <c r="BV12" s="89">
        <f t="shared" si="8"/>
        <v>0</v>
      </c>
    </row>
    <row r="13" spans="2:74" ht="18.75" customHeight="1">
      <c r="B13" s="84" t="s">
        <v>126</v>
      </c>
      <c r="C13" s="85" t="s">
        <v>88</v>
      </c>
      <c r="D13" s="85" t="s">
        <v>323</v>
      </c>
      <c r="E13" s="85" t="s">
        <v>18</v>
      </c>
      <c r="F13" s="85" t="s">
        <v>321</v>
      </c>
      <c r="G13" s="86">
        <v>45992</v>
      </c>
      <c r="H13" s="87">
        <v>330</v>
      </c>
      <c r="I13" s="87">
        <v>462</v>
      </c>
      <c r="J13" s="87">
        <v>704</v>
      </c>
      <c r="K13" s="88">
        <f t="shared" si="0"/>
        <v>0</v>
      </c>
      <c r="L13" s="88">
        <f t="shared" si="1"/>
        <v>220</v>
      </c>
      <c r="M13" s="88">
        <f t="shared" si="2"/>
        <v>462</v>
      </c>
      <c r="N13" s="89">
        <f t="shared" si="3"/>
        <v>0</v>
      </c>
      <c r="O13" s="89">
        <f t="shared" si="3"/>
        <v>0</v>
      </c>
      <c r="P13" s="89">
        <f t="shared" si="3"/>
        <v>0</v>
      </c>
      <c r="Q13" s="89">
        <f t="shared" si="3"/>
        <v>0</v>
      </c>
      <c r="R13" s="89">
        <f t="shared" si="3"/>
        <v>0</v>
      </c>
      <c r="S13" s="89">
        <f t="shared" si="3"/>
        <v>0</v>
      </c>
      <c r="T13" s="89">
        <f t="shared" si="3"/>
        <v>0</v>
      </c>
      <c r="U13" s="89">
        <f t="shared" si="3"/>
        <v>0</v>
      </c>
      <c r="V13" s="89">
        <f t="shared" si="3"/>
        <v>0</v>
      </c>
      <c r="W13" s="89">
        <f t="shared" si="3"/>
        <v>0</v>
      </c>
      <c r="X13" s="89">
        <f t="shared" si="4"/>
        <v>0</v>
      </c>
      <c r="Y13" s="89">
        <f t="shared" si="4"/>
        <v>0</v>
      </c>
      <c r="Z13" s="89">
        <f t="shared" si="4"/>
        <v>0</v>
      </c>
      <c r="AA13" s="89">
        <f t="shared" si="4"/>
        <v>27.5</v>
      </c>
      <c r="AB13" s="89">
        <f t="shared" si="4"/>
        <v>27.5</v>
      </c>
      <c r="AC13" s="89">
        <f t="shared" si="4"/>
        <v>27.5</v>
      </c>
      <c r="AD13" s="89">
        <f t="shared" si="4"/>
        <v>27.5</v>
      </c>
      <c r="AE13" s="89">
        <f t="shared" si="4"/>
        <v>27.5</v>
      </c>
      <c r="AF13" s="89">
        <f t="shared" si="4"/>
        <v>27.5</v>
      </c>
      <c r="AG13" s="89">
        <f t="shared" si="4"/>
        <v>27.5</v>
      </c>
      <c r="AH13" s="89">
        <f t="shared" si="5"/>
        <v>27.5</v>
      </c>
      <c r="AI13" s="89">
        <f t="shared" si="5"/>
        <v>27.5</v>
      </c>
      <c r="AJ13" s="89">
        <f t="shared" si="5"/>
        <v>27.5</v>
      </c>
      <c r="AK13" s="89">
        <f t="shared" si="5"/>
        <v>27.5</v>
      </c>
      <c r="AL13" s="89">
        <f t="shared" si="5"/>
        <v>27.5</v>
      </c>
      <c r="AM13" s="89">
        <f t="shared" si="5"/>
        <v>38.5</v>
      </c>
      <c r="AN13" s="89">
        <f t="shared" si="5"/>
        <v>38.5</v>
      </c>
      <c r="AO13" s="89">
        <f t="shared" si="5"/>
        <v>38.5</v>
      </c>
      <c r="AP13" s="89">
        <f t="shared" si="5"/>
        <v>38.5</v>
      </c>
      <c r="AQ13" s="89">
        <f t="shared" si="5"/>
        <v>38.5</v>
      </c>
      <c r="AR13" s="89">
        <f t="shared" si="6"/>
        <v>38.5</v>
      </c>
      <c r="AS13" s="89">
        <f t="shared" si="6"/>
        <v>38.5</v>
      </c>
      <c r="AT13" s="89">
        <f t="shared" si="6"/>
        <v>38.5</v>
      </c>
      <c r="AU13" s="89">
        <f t="shared" si="6"/>
        <v>38.5</v>
      </c>
      <c r="AV13" s="89">
        <f t="shared" si="6"/>
        <v>38.5</v>
      </c>
      <c r="AW13" s="89">
        <f t="shared" si="6"/>
        <v>38.5</v>
      </c>
      <c r="AX13" s="89">
        <f t="shared" si="6"/>
        <v>38.5</v>
      </c>
      <c r="AY13" s="89">
        <f t="shared" si="6"/>
        <v>58.666666666666664</v>
      </c>
      <c r="AZ13" s="89">
        <f t="shared" si="6"/>
        <v>58.666666666666664</v>
      </c>
      <c r="BA13" s="89">
        <f t="shared" si="6"/>
        <v>58.666666666666664</v>
      </c>
      <c r="BB13" s="89">
        <f t="shared" si="7"/>
        <v>58.666666666666664</v>
      </c>
      <c r="BC13" s="89">
        <f t="shared" si="7"/>
        <v>58.666666666666664</v>
      </c>
      <c r="BD13" s="89">
        <f t="shared" si="7"/>
        <v>58.666666666666664</v>
      </c>
      <c r="BE13" s="89">
        <f t="shared" si="7"/>
        <v>58.666666666666664</v>
      </c>
      <c r="BF13" s="89">
        <f t="shared" si="7"/>
        <v>58.666666666666664</v>
      </c>
      <c r="BG13" s="89">
        <f t="shared" si="7"/>
        <v>58.666666666666664</v>
      </c>
      <c r="BH13" s="89">
        <f t="shared" si="7"/>
        <v>58.666666666666664</v>
      </c>
      <c r="BI13" s="89">
        <f t="shared" si="7"/>
        <v>58.666666666666664</v>
      </c>
      <c r="BJ13" s="89">
        <f t="shared" si="7"/>
        <v>58.666666666666664</v>
      </c>
      <c r="BK13" s="89">
        <f t="shared" si="7"/>
        <v>0</v>
      </c>
      <c r="BL13" s="89">
        <f t="shared" si="8"/>
        <v>0</v>
      </c>
      <c r="BM13" s="89">
        <f t="shared" si="8"/>
        <v>0</v>
      </c>
      <c r="BN13" s="89">
        <f t="shared" si="8"/>
        <v>0</v>
      </c>
      <c r="BO13" s="89">
        <f t="shared" si="8"/>
        <v>0</v>
      </c>
      <c r="BP13" s="89">
        <f t="shared" si="8"/>
        <v>0</v>
      </c>
      <c r="BQ13" s="89">
        <f t="shared" si="8"/>
        <v>0</v>
      </c>
      <c r="BR13" s="89">
        <f t="shared" si="8"/>
        <v>0</v>
      </c>
      <c r="BS13" s="89">
        <f t="shared" si="8"/>
        <v>0</v>
      </c>
      <c r="BT13" s="89">
        <f t="shared" si="8"/>
        <v>0</v>
      </c>
      <c r="BU13" s="89">
        <f t="shared" si="8"/>
        <v>0</v>
      </c>
      <c r="BV13" s="89">
        <f t="shared" si="8"/>
        <v>0</v>
      </c>
    </row>
    <row r="14" spans="2:74" ht="18.75" customHeight="1">
      <c r="B14" s="84" t="s">
        <v>172</v>
      </c>
      <c r="C14" s="85" t="s">
        <v>51</v>
      </c>
      <c r="D14" s="85" t="s">
        <v>174</v>
      </c>
      <c r="E14" s="84" t="s">
        <v>17</v>
      </c>
      <c r="F14" s="84" t="s">
        <v>322</v>
      </c>
      <c r="G14" s="86">
        <v>45778</v>
      </c>
      <c r="H14" s="87">
        <v>209</v>
      </c>
      <c r="I14" s="87">
        <v>401</v>
      </c>
      <c r="J14" s="87">
        <v>506</v>
      </c>
      <c r="K14" s="88">
        <f t="shared" si="0"/>
        <v>52.25</v>
      </c>
      <c r="L14" s="88">
        <f t="shared" si="1"/>
        <v>257</v>
      </c>
      <c r="M14" s="88">
        <f t="shared" si="2"/>
        <v>427.25000000000006</v>
      </c>
      <c r="N14" s="89">
        <f t="shared" si="3"/>
        <v>0</v>
      </c>
      <c r="O14" s="89">
        <f t="shared" si="3"/>
        <v>0</v>
      </c>
      <c r="P14" s="89">
        <f t="shared" si="3"/>
        <v>0</v>
      </c>
      <c r="Q14" s="89">
        <f t="shared" si="3"/>
        <v>0</v>
      </c>
      <c r="R14" s="89">
        <f t="shared" si="3"/>
        <v>0</v>
      </c>
      <c r="S14" s="89">
        <f t="shared" si="3"/>
        <v>0</v>
      </c>
      <c r="T14" s="89">
        <f t="shared" si="3"/>
        <v>0</v>
      </c>
      <c r="U14" s="89">
        <f t="shared" si="3"/>
        <v>0</v>
      </c>
      <c r="V14" s="89">
        <f t="shared" si="3"/>
        <v>0</v>
      </c>
      <c r="W14" s="89">
        <f t="shared" si="3"/>
        <v>0</v>
      </c>
      <c r="X14" s="89">
        <f t="shared" si="4"/>
        <v>17.416666666666668</v>
      </c>
      <c r="Y14" s="89">
        <f t="shared" si="4"/>
        <v>17.416666666666668</v>
      </c>
      <c r="Z14" s="89">
        <f t="shared" si="4"/>
        <v>17.416666666666668</v>
      </c>
      <c r="AA14" s="89">
        <f t="shared" si="4"/>
        <v>17.416666666666668</v>
      </c>
      <c r="AB14" s="89">
        <f t="shared" si="4"/>
        <v>17.416666666666668</v>
      </c>
      <c r="AC14" s="89">
        <f t="shared" si="4"/>
        <v>17.416666666666668</v>
      </c>
      <c r="AD14" s="89">
        <f t="shared" si="4"/>
        <v>17.416666666666668</v>
      </c>
      <c r="AE14" s="89">
        <f t="shared" si="4"/>
        <v>17.416666666666668</v>
      </c>
      <c r="AF14" s="89">
        <f t="shared" si="4"/>
        <v>17.416666666666668</v>
      </c>
      <c r="AG14" s="89">
        <f t="shared" si="4"/>
        <v>17.416666666666668</v>
      </c>
      <c r="AH14" s="89">
        <f t="shared" si="5"/>
        <v>17.416666666666668</v>
      </c>
      <c r="AI14" s="89">
        <f t="shared" si="5"/>
        <v>17.416666666666668</v>
      </c>
      <c r="AJ14" s="89">
        <f t="shared" si="5"/>
        <v>33.416666666666664</v>
      </c>
      <c r="AK14" s="89">
        <f t="shared" si="5"/>
        <v>33.416666666666664</v>
      </c>
      <c r="AL14" s="89">
        <f t="shared" si="5"/>
        <v>33.416666666666664</v>
      </c>
      <c r="AM14" s="89">
        <f t="shared" si="5"/>
        <v>33.416666666666664</v>
      </c>
      <c r="AN14" s="89">
        <f t="shared" si="5"/>
        <v>33.416666666666664</v>
      </c>
      <c r="AO14" s="89">
        <f t="shared" si="5"/>
        <v>33.416666666666664</v>
      </c>
      <c r="AP14" s="89">
        <f t="shared" si="5"/>
        <v>33.416666666666664</v>
      </c>
      <c r="AQ14" s="89">
        <f t="shared" si="5"/>
        <v>33.416666666666664</v>
      </c>
      <c r="AR14" s="89">
        <f t="shared" si="6"/>
        <v>33.416666666666664</v>
      </c>
      <c r="AS14" s="89">
        <f t="shared" si="6"/>
        <v>33.416666666666664</v>
      </c>
      <c r="AT14" s="89">
        <f t="shared" si="6"/>
        <v>33.416666666666664</v>
      </c>
      <c r="AU14" s="89">
        <f t="shared" si="6"/>
        <v>33.416666666666664</v>
      </c>
      <c r="AV14" s="89">
        <f t="shared" si="6"/>
        <v>42.166666666666664</v>
      </c>
      <c r="AW14" s="89">
        <f t="shared" si="6"/>
        <v>42.166666666666664</v>
      </c>
      <c r="AX14" s="89">
        <f t="shared" si="6"/>
        <v>42.166666666666664</v>
      </c>
      <c r="AY14" s="89">
        <f t="shared" si="6"/>
        <v>42.166666666666664</v>
      </c>
      <c r="AZ14" s="89">
        <f t="shared" si="6"/>
        <v>42.166666666666664</v>
      </c>
      <c r="BA14" s="89">
        <f t="shared" si="6"/>
        <v>42.166666666666664</v>
      </c>
      <c r="BB14" s="89">
        <f t="shared" si="7"/>
        <v>42.166666666666664</v>
      </c>
      <c r="BC14" s="89">
        <f t="shared" si="7"/>
        <v>42.166666666666664</v>
      </c>
      <c r="BD14" s="89">
        <f t="shared" si="7"/>
        <v>42.166666666666664</v>
      </c>
      <c r="BE14" s="89">
        <f t="shared" si="7"/>
        <v>42.166666666666664</v>
      </c>
      <c r="BF14" s="89">
        <f t="shared" si="7"/>
        <v>42.166666666666664</v>
      </c>
      <c r="BG14" s="89">
        <f t="shared" si="7"/>
        <v>42.166666666666664</v>
      </c>
      <c r="BH14" s="89">
        <f t="shared" si="7"/>
        <v>0</v>
      </c>
      <c r="BI14" s="89">
        <f t="shared" si="7"/>
        <v>0</v>
      </c>
      <c r="BJ14" s="89">
        <f t="shared" si="7"/>
        <v>0</v>
      </c>
      <c r="BK14" s="89">
        <f t="shared" si="7"/>
        <v>0</v>
      </c>
      <c r="BL14" s="89">
        <f t="shared" si="8"/>
        <v>0</v>
      </c>
      <c r="BM14" s="89">
        <f t="shared" si="8"/>
        <v>0</v>
      </c>
      <c r="BN14" s="89">
        <f t="shared" si="8"/>
        <v>0</v>
      </c>
      <c r="BO14" s="89">
        <f t="shared" si="8"/>
        <v>0</v>
      </c>
      <c r="BP14" s="89">
        <f t="shared" si="8"/>
        <v>0</v>
      </c>
      <c r="BQ14" s="89">
        <f t="shared" si="8"/>
        <v>0</v>
      </c>
      <c r="BR14" s="89">
        <f t="shared" si="8"/>
        <v>0</v>
      </c>
      <c r="BS14" s="89">
        <f t="shared" si="8"/>
        <v>0</v>
      </c>
      <c r="BT14" s="89">
        <f t="shared" si="8"/>
        <v>0</v>
      </c>
      <c r="BU14" s="89">
        <f t="shared" si="8"/>
        <v>0</v>
      </c>
      <c r="BV14" s="89">
        <f t="shared" si="8"/>
        <v>0</v>
      </c>
    </row>
    <row r="15" spans="2:74" ht="18.75" customHeight="1">
      <c r="B15" s="84" t="s">
        <v>172</v>
      </c>
      <c r="C15" s="85" t="s">
        <v>51</v>
      </c>
      <c r="D15" s="85" t="s">
        <v>174</v>
      </c>
      <c r="E15" s="85" t="s">
        <v>18</v>
      </c>
      <c r="F15" s="84" t="s">
        <v>322</v>
      </c>
      <c r="G15" s="86">
        <v>45778</v>
      </c>
      <c r="H15" s="87">
        <v>209</v>
      </c>
      <c r="I15" s="87">
        <v>401</v>
      </c>
      <c r="J15" s="87">
        <v>506</v>
      </c>
      <c r="K15" s="88">
        <f t="shared" si="0"/>
        <v>52.25</v>
      </c>
      <c r="L15" s="88">
        <f t="shared" si="1"/>
        <v>257</v>
      </c>
      <c r="M15" s="88">
        <f t="shared" si="2"/>
        <v>427.25000000000006</v>
      </c>
      <c r="N15" s="89">
        <f t="shared" ref="N15:W24" si="9">IF($F15="FY表記",IF(OR(YEAR(N$4)+IF(MONTH(N$4)&gt;=8,1,0)-2025&lt;1,YEAR(N$4)+IF(MONTH(N$4)&gt;=8,1,0)-2025&gt;3),0,INDEX($H15:$J15,YEAR(N$4)+IF(MONTH(N$4)&gt;=8,1,0)-2025)/12),IF($F15="FY表記(在籍月割)",IF(OR(YEAR(N$4)+IF(MONTH(N$4)&gt;=8,1,0)-2025&lt;1,YEAR(N$4)+IF(MONTH(N$4)&gt;=8,1,0)-2025&gt;3,(YEAR(N$4)-YEAR($G15))*12+MONTH(N$4)-MONTH($G15)&lt;0),0,INDEX($H15:$J15,YEAR(N$4)+IF(MONTH(N$4)&gt;=8,1,0)-2025)/(12-MAX(0,(YEAR($G15)-2024-(YEAR(N$4)+IF(MONTH(N$4)&gt;=8,1,0)-2025))*12+MONTH($G15)-8))),IF(OR((YEAR(N$4)-YEAR($G15))*12+MONTH(N$4)-MONTH($G15)&lt;0,(YEAR(N$4)-YEAR($G15))*12+MONTH(N$4)-MONTH($G15)&gt;=36),0,INDEX($H15:$J15,INT(((YEAR(N$4)-YEAR($G15))*12+MONTH(N$4)-MONTH($G15))/12)+1)/12)))</f>
        <v>0</v>
      </c>
      <c r="O15" s="89">
        <f t="shared" si="9"/>
        <v>0</v>
      </c>
      <c r="P15" s="89">
        <f t="shared" si="9"/>
        <v>0</v>
      </c>
      <c r="Q15" s="89">
        <f t="shared" si="9"/>
        <v>0</v>
      </c>
      <c r="R15" s="89">
        <f t="shared" si="9"/>
        <v>0</v>
      </c>
      <c r="S15" s="89">
        <f t="shared" si="9"/>
        <v>0</v>
      </c>
      <c r="T15" s="89">
        <f t="shared" si="9"/>
        <v>0</v>
      </c>
      <c r="U15" s="89">
        <f t="shared" si="9"/>
        <v>0</v>
      </c>
      <c r="V15" s="89">
        <f t="shared" si="9"/>
        <v>0</v>
      </c>
      <c r="W15" s="89">
        <f t="shared" si="9"/>
        <v>0</v>
      </c>
      <c r="X15" s="89">
        <f t="shared" ref="X15:AG24" si="10">IF($F15="FY表記",IF(OR(YEAR(X$4)+IF(MONTH(X$4)&gt;=8,1,0)-2025&lt;1,YEAR(X$4)+IF(MONTH(X$4)&gt;=8,1,0)-2025&gt;3),0,INDEX($H15:$J15,YEAR(X$4)+IF(MONTH(X$4)&gt;=8,1,0)-2025)/12),IF($F15="FY表記(在籍月割)",IF(OR(YEAR(X$4)+IF(MONTH(X$4)&gt;=8,1,0)-2025&lt;1,YEAR(X$4)+IF(MONTH(X$4)&gt;=8,1,0)-2025&gt;3,(YEAR(X$4)-YEAR($G15))*12+MONTH(X$4)-MONTH($G15)&lt;0),0,INDEX($H15:$J15,YEAR(X$4)+IF(MONTH(X$4)&gt;=8,1,0)-2025)/(12-MAX(0,(YEAR($G15)-2024-(YEAR(X$4)+IF(MONTH(X$4)&gt;=8,1,0)-2025))*12+MONTH($G15)-8))),IF(OR((YEAR(X$4)-YEAR($G15))*12+MONTH(X$4)-MONTH($G15)&lt;0,(YEAR(X$4)-YEAR($G15))*12+MONTH(X$4)-MONTH($G15)&gt;=36),0,INDEX($H15:$J15,INT(((YEAR(X$4)-YEAR($G15))*12+MONTH(X$4)-MONTH($G15))/12)+1)/12)))</f>
        <v>17.416666666666668</v>
      </c>
      <c r="Y15" s="89">
        <f t="shared" si="10"/>
        <v>17.416666666666668</v>
      </c>
      <c r="Z15" s="89">
        <f t="shared" si="10"/>
        <v>17.416666666666668</v>
      </c>
      <c r="AA15" s="89">
        <f t="shared" si="10"/>
        <v>17.416666666666668</v>
      </c>
      <c r="AB15" s="89">
        <f t="shared" si="10"/>
        <v>17.416666666666668</v>
      </c>
      <c r="AC15" s="89">
        <f t="shared" si="10"/>
        <v>17.416666666666668</v>
      </c>
      <c r="AD15" s="89">
        <f t="shared" si="10"/>
        <v>17.416666666666668</v>
      </c>
      <c r="AE15" s="89">
        <f t="shared" si="10"/>
        <v>17.416666666666668</v>
      </c>
      <c r="AF15" s="89">
        <f t="shared" si="10"/>
        <v>17.416666666666668</v>
      </c>
      <c r="AG15" s="89">
        <f t="shared" si="10"/>
        <v>17.416666666666668</v>
      </c>
      <c r="AH15" s="89">
        <f t="shared" ref="AH15:AQ24" si="11">IF($F15="FY表記",IF(OR(YEAR(AH$4)+IF(MONTH(AH$4)&gt;=8,1,0)-2025&lt;1,YEAR(AH$4)+IF(MONTH(AH$4)&gt;=8,1,0)-2025&gt;3),0,INDEX($H15:$J15,YEAR(AH$4)+IF(MONTH(AH$4)&gt;=8,1,0)-2025)/12),IF($F15="FY表記(在籍月割)",IF(OR(YEAR(AH$4)+IF(MONTH(AH$4)&gt;=8,1,0)-2025&lt;1,YEAR(AH$4)+IF(MONTH(AH$4)&gt;=8,1,0)-2025&gt;3,(YEAR(AH$4)-YEAR($G15))*12+MONTH(AH$4)-MONTH($G15)&lt;0),0,INDEX($H15:$J15,YEAR(AH$4)+IF(MONTH(AH$4)&gt;=8,1,0)-2025)/(12-MAX(0,(YEAR($G15)-2024-(YEAR(AH$4)+IF(MONTH(AH$4)&gt;=8,1,0)-2025))*12+MONTH($G15)-8))),IF(OR((YEAR(AH$4)-YEAR($G15))*12+MONTH(AH$4)-MONTH($G15)&lt;0,(YEAR(AH$4)-YEAR($G15))*12+MONTH(AH$4)-MONTH($G15)&gt;=36),0,INDEX($H15:$J15,INT(((YEAR(AH$4)-YEAR($G15))*12+MONTH(AH$4)-MONTH($G15))/12)+1)/12)))</f>
        <v>17.416666666666668</v>
      </c>
      <c r="AI15" s="89">
        <f t="shared" si="11"/>
        <v>17.416666666666668</v>
      </c>
      <c r="AJ15" s="89">
        <f t="shared" si="11"/>
        <v>33.416666666666664</v>
      </c>
      <c r="AK15" s="89">
        <f t="shared" si="11"/>
        <v>33.416666666666664</v>
      </c>
      <c r="AL15" s="89">
        <f t="shared" si="11"/>
        <v>33.416666666666664</v>
      </c>
      <c r="AM15" s="89">
        <f t="shared" si="11"/>
        <v>33.416666666666664</v>
      </c>
      <c r="AN15" s="89">
        <f t="shared" si="11"/>
        <v>33.416666666666664</v>
      </c>
      <c r="AO15" s="89">
        <f t="shared" si="11"/>
        <v>33.416666666666664</v>
      </c>
      <c r="AP15" s="89">
        <f t="shared" si="11"/>
        <v>33.416666666666664</v>
      </c>
      <c r="AQ15" s="89">
        <f t="shared" si="11"/>
        <v>33.416666666666664</v>
      </c>
      <c r="AR15" s="89">
        <f t="shared" ref="AR15:BA24" si="12">IF($F15="FY表記",IF(OR(YEAR(AR$4)+IF(MONTH(AR$4)&gt;=8,1,0)-2025&lt;1,YEAR(AR$4)+IF(MONTH(AR$4)&gt;=8,1,0)-2025&gt;3),0,INDEX($H15:$J15,YEAR(AR$4)+IF(MONTH(AR$4)&gt;=8,1,0)-2025)/12),IF($F15="FY表記(在籍月割)",IF(OR(YEAR(AR$4)+IF(MONTH(AR$4)&gt;=8,1,0)-2025&lt;1,YEAR(AR$4)+IF(MONTH(AR$4)&gt;=8,1,0)-2025&gt;3,(YEAR(AR$4)-YEAR($G15))*12+MONTH(AR$4)-MONTH($G15)&lt;0),0,INDEX($H15:$J15,YEAR(AR$4)+IF(MONTH(AR$4)&gt;=8,1,0)-2025)/(12-MAX(0,(YEAR($G15)-2024-(YEAR(AR$4)+IF(MONTH(AR$4)&gt;=8,1,0)-2025))*12+MONTH($G15)-8))),IF(OR((YEAR(AR$4)-YEAR($G15))*12+MONTH(AR$4)-MONTH($G15)&lt;0,(YEAR(AR$4)-YEAR($G15))*12+MONTH(AR$4)-MONTH($G15)&gt;=36),0,INDEX($H15:$J15,INT(((YEAR(AR$4)-YEAR($G15))*12+MONTH(AR$4)-MONTH($G15))/12)+1)/12)))</f>
        <v>33.416666666666664</v>
      </c>
      <c r="AS15" s="89">
        <f t="shared" si="12"/>
        <v>33.416666666666664</v>
      </c>
      <c r="AT15" s="89">
        <f t="shared" si="12"/>
        <v>33.416666666666664</v>
      </c>
      <c r="AU15" s="89">
        <f t="shared" si="12"/>
        <v>33.416666666666664</v>
      </c>
      <c r="AV15" s="89">
        <f t="shared" si="12"/>
        <v>42.166666666666664</v>
      </c>
      <c r="AW15" s="89">
        <f t="shared" si="12"/>
        <v>42.166666666666664</v>
      </c>
      <c r="AX15" s="89">
        <f t="shared" si="12"/>
        <v>42.166666666666664</v>
      </c>
      <c r="AY15" s="89">
        <f t="shared" si="12"/>
        <v>42.166666666666664</v>
      </c>
      <c r="AZ15" s="89">
        <f t="shared" si="12"/>
        <v>42.166666666666664</v>
      </c>
      <c r="BA15" s="89">
        <f t="shared" si="12"/>
        <v>42.166666666666664</v>
      </c>
      <c r="BB15" s="89">
        <f t="shared" ref="BB15:BK24" si="13">IF($F15="FY表記",IF(OR(YEAR(BB$4)+IF(MONTH(BB$4)&gt;=8,1,0)-2025&lt;1,YEAR(BB$4)+IF(MONTH(BB$4)&gt;=8,1,0)-2025&gt;3),0,INDEX($H15:$J15,YEAR(BB$4)+IF(MONTH(BB$4)&gt;=8,1,0)-2025)/12),IF($F15="FY表記(在籍月割)",IF(OR(YEAR(BB$4)+IF(MONTH(BB$4)&gt;=8,1,0)-2025&lt;1,YEAR(BB$4)+IF(MONTH(BB$4)&gt;=8,1,0)-2025&gt;3,(YEAR(BB$4)-YEAR($G15))*12+MONTH(BB$4)-MONTH($G15)&lt;0),0,INDEX($H15:$J15,YEAR(BB$4)+IF(MONTH(BB$4)&gt;=8,1,0)-2025)/(12-MAX(0,(YEAR($G15)-2024-(YEAR(BB$4)+IF(MONTH(BB$4)&gt;=8,1,0)-2025))*12+MONTH($G15)-8))),IF(OR((YEAR(BB$4)-YEAR($G15))*12+MONTH(BB$4)-MONTH($G15)&lt;0,(YEAR(BB$4)-YEAR($G15))*12+MONTH(BB$4)-MONTH($G15)&gt;=36),0,INDEX($H15:$J15,INT(((YEAR(BB$4)-YEAR($G15))*12+MONTH(BB$4)-MONTH($G15))/12)+1)/12)))</f>
        <v>42.166666666666664</v>
      </c>
      <c r="BC15" s="89">
        <f t="shared" si="13"/>
        <v>42.166666666666664</v>
      </c>
      <c r="BD15" s="89">
        <f t="shared" si="13"/>
        <v>42.166666666666664</v>
      </c>
      <c r="BE15" s="89">
        <f t="shared" si="13"/>
        <v>42.166666666666664</v>
      </c>
      <c r="BF15" s="89">
        <f t="shared" si="13"/>
        <v>42.166666666666664</v>
      </c>
      <c r="BG15" s="89">
        <f t="shared" si="13"/>
        <v>42.166666666666664</v>
      </c>
      <c r="BH15" s="89">
        <f t="shared" si="13"/>
        <v>0</v>
      </c>
      <c r="BI15" s="89">
        <f t="shared" si="13"/>
        <v>0</v>
      </c>
      <c r="BJ15" s="89">
        <f t="shared" si="13"/>
        <v>0</v>
      </c>
      <c r="BK15" s="89">
        <f t="shared" si="13"/>
        <v>0</v>
      </c>
      <c r="BL15" s="89">
        <f t="shared" ref="BL15:BV24" si="14">IF($F15="FY表記",IF(OR(YEAR(BL$4)+IF(MONTH(BL$4)&gt;=8,1,0)-2025&lt;1,YEAR(BL$4)+IF(MONTH(BL$4)&gt;=8,1,0)-2025&gt;3),0,INDEX($H15:$J15,YEAR(BL$4)+IF(MONTH(BL$4)&gt;=8,1,0)-2025)/12),IF($F15="FY表記(在籍月割)",IF(OR(YEAR(BL$4)+IF(MONTH(BL$4)&gt;=8,1,0)-2025&lt;1,YEAR(BL$4)+IF(MONTH(BL$4)&gt;=8,1,0)-2025&gt;3,(YEAR(BL$4)-YEAR($G15))*12+MONTH(BL$4)-MONTH($G15)&lt;0),0,INDEX($H15:$J15,YEAR(BL$4)+IF(MONTH(BL$4)&gt;=8,1,0)-2025)/(12-MAX(0,(YEAR($G15)-2024-(YEAR(BL$4)+IF(MONTH(BL$4)&gt;=8,1,0)-2025))*12+MONTH($G15)-8))),IF(OR((YEAR(BL$4)-YEAR($G15))*12+MONTH(BL$4)-MONTH($G15)&lt;0,(YEAR(BL$4)-YEAR($G15))*12+MONTH(BL$4)-MONTH($G15)&gt;=36),0,INDEX($H15:$J15,INT(((YEAR(BL$4)-YEAR($G15))*12+MONTH(BL$4)-MONTH($G15))/12)+1)/12)))</f>
        <v>0</v>
      </c>
      <c r="BM15" s="89">
        <f t="shared" si="14"/>
        <v>0</v>
      </c>
      <c r="BN15" s="89">
        <f t="shared" si="14"/>
        <v>0</v>
      </c>
      <c r="BO15" s="89">
        <f t="shared" si="14"/>
        <v>0</v>
      </c>
      <c r="BP15" s="89">
        <f t="shared" si="14"/>
        <v>0</v>
      </c>
      <c r="BQ15" s="89">
        <f t="shared" si="14"/>
        <v>0</v>
      </c>
      <c r="BR15" s="89">
        <f t="shared" si="14"/>
        <v>0</v>
      </c>
      <c r="BS15" s="89">
        <f t="shared" si="14"/>
        <v>0</v>
      </c>
      <c r="BT15" s="89">
        <f t="shared" si="14"/>
        <v>0</v>
      </c>
      <c r="BU15" s="89">
        <f t="shared" si="14"/>
        <v>0</v>
      </c>
      <c r="BV15" s="89">
        <f t="shared" si="14"/>
        <v>0</v>
      </c>
    </row>
    <row r="16" spans="2:74" ht="18.75" customHeight="1">
      <c r="B16" s="84" t="s">
        <v>186</v>
      </c>
      <c r="C16" s="85" t="s">
        <v>88</v>
      </c>
      <c r="D16" s="85" t="s">
        <v>174</v>
      </c>
      <c r="E16" s="85" t="s">
        <v>18</v>
      </c>
      <c r="F16" s="84" t="s">
        <v>322</v>
      </c>
      <c r="G16" s="86">
        <v>46023</v>
      </c>
      <c r="H16" s="87">
        <v>200</v>
      </c>
      <c r="I16" s="87">
        <v>200</v>
      </c>
      <c r="J16" s="87">
        <v>200</v>
      </c>
      <c r="K16" s="88">
        <f t="shared" si="0"/>
        <v>0</v>
      </c>
      <c r="L16" s="88">
        <f t="shared" si="1"/>
        <v>116.66666666666669</v>
      </c>
      <c r="M16" s="88">
        <f t="shared" si="2"/>
        <v>199.99999999999997</v>
      </c>
      <c r="N16" s="89">
        <f t="shared" si="9"/>
        <v>0</v>
      </c>
      <c r="O16" s="89">
        <f t="shared" si="9"/>
        <v>0</v>
      </c>
      <c r="P16" s="89">
        <f t="shared" si="9"/>
        <v>0</v>
      </c>
      <c r="Q16" s="89">
        <f t="shared" si="9"/>
        <v>0</v>
      </c>
      <c r="R16" s="89">
        <f t="shared" si="9"/>
        <v>0</v>
      </c>
      <c r="S16" s="89">
        <f t="shared" si="9"/>
        <v>0</v>
      </c>
      <c r="T16" s="89">
        <f t="shared" si="9"/>
        <v>0</v>
      </c>
      <c r="U16" s="89">
        <f t="shared" si="9"/>
        <v>0</v>
      </c>
      <c r="V16" s="89">
        <f t="shared" si="9"/>
        <v>0</v>
      </c>
      <c r="W16" s="89">
        <f t="shared" si="9"/>
        <v>0</v>
      </c>
      <c r="X16" s="89">
        <f t="shared" si="10"/>
        <v>0</v>
      </c>
      <c r="Y16" s="89">
        <f t="shared" si="10"/>
        <v>0</v>
      </c>
      <c r="Z16" s="89">
        <f t="shared" si="10"/>
        <v>0</v>
      </c>
      <c r="AA16" s="89">
        <f t="shared" si="10"/>
        <v>0</v>
      </c>
      <c r="AB16" s="89">
        <f t="shared" si="10"/>
        <v>0</v>
      </c>
      <c r="AC16" s="89">
        <f t="shared" si="10"/>
        <v>0</v>
      </c>
      <c r="AD16" s="89">
        <f t="shared" si="10"/>
        <v>0</v>
      </c>
      <c r="AE16" s="89">
        <f t="shared" si="10"/>
        <v>0</v>
      </c>
      <c r="AF16" s="89">
        <f t="shared" si="10"/>
        <v>16.666666666666668</v>
      </c>
      <c r="AG16" s="89">
        <f t="shared" si="10"/>
        <v>16.666666666666668</v>
      </c>
      <c r="AH16" s="89">
        <f t="shared" si="11"/>
        <v>16.666666666666668</v>
      </c>
      <c r="AI16" s="89">
        <f t="shared" si="11"/>
        <v>16.666666666666668</v>
      </c>
      <c r="AJ16" s="89">
        <f t="shared" si="11"/>
        <v>16.666666666666668</v>
      </c>
      <c r="AK16" s="89">
        <f t="shared" si="11"/>
        <v>16.666666666666668</v>
      </c>
      <c r="AL16" s="89">
        <f t="shared" si="11"/>
        <v>16.666666666666668</v>
      </c>
      <c r="AM16" s="89">
        <f t="shared" si="11"/>
        <v>16.666666666666668</v>
      </c>
      <c r="AN16" s="89">
        <f t="shared" si="11"/>
        <v>16.666666666666668</v>
      </c>
      <c r="AO16" s="89">
        <f t="shared" si="11"/>
        <v>16.666666666666668</v>
      </c>
      <c r="AP16" s="89">
        <f t="shared" si="11"/>
        <v>16.666666666666668</v>
      </c>
      <c r="AQ16" s="89">
        <f t="shared" si="11"/>
        <v>16.666666666666668</v>
      </c>
      <c r="AR16" s="89">
        <f t="shared" si="12"/>
        <v>16.666666666666668</v>
      </c>
      <c r="AS16" s="89">
        <f t="shared" si="12"/>
        <v>16.666666666666668</v>
      </c>
      <c r="AT16" s="89">
        <f t="shared" si="12"/>
        <v>16.666666666666668</v>
      </c>
      <c r="AU16" s="89">
        <f t="shared" si="12"/>
        <v>16.666666666666668</v>
      </c>
      <c r="AV16" s="89">
        <f t="shared" si="12"/>
        <v>16.666666666666668</v>
      </c>
      <c r="AW16" s="89">
        <f t="shared" si="12"/>
        <v>16.666666666666668</v>
      </c>
      <c r="AX16" s="89">
        <f t="shared" si="12"/>
        <v>16.666666666666668</v>
      </c>
      <c r="AY16" s="89">
        <f t="shared" si="12"/>
        <v>16.666666666666668</v>
      </c>
      <c r="AZ16" s="89">
        <f t="shared" si="12"/>
        <v>16.666666666666668</v>
      </c>
      <c r="BA16" s="89">
        <f t="shared" si="12"/>
        <v>16.666666666666668</v>
      </c>
      <c r="BB16" s="89">
        <f t="shared" si="13"/>
        <v>16.666666666666668</v>
      </c>
      <c r="BC16" s="89">
        <f t="shared" si="13"/>
        <v>16.666666666666668</v>
      </c>
      <c r="BD16" s="89">
        <f t="shared" si="13"/>
        <v>16.666666666666668</v>
      </c>
      <c r="BE16" s="89">
        <f t="shared" si="13"/>
        <v>16.666666666666668</v>
      </c>
      <c r="BF16" s="89">
        <f t="shared" si="13"/>
        <v>16.666666666666668</v>
      </c>
      <c r="BG16" s="89">
        <f t="shared" si="13"/>
        <v>16.666666666666668</v>
      </c>
      <c r="BH16" s="89">
        <f t="shared" si="13"/>
        <v>16.666666666666668</v>
      </c>
      <c r="BI16" s="89">
        <f t="shared" si="13"/>
        <v>16.666666666666668</v>
      </c>
      <c r="BJ16" s="89">
        <f t="shared" si="13"/>
        <v>16.666666666666668</v>
      </c>
      <c r="BK16" s="89">
        <f t="shared" si="13"/>
        <v>16.666666666666668</v>
      </c>
      <c r="BL16" s="89">
        <f t="shared" si="14"/>
        <v>16.666666666666668</v>
      </c>
      <c r="BM16" s="89">
        <f t="shared" si="14"/>
        <v>16.666666666666668</v>
      </c>
      <c r="BN16" s="89">
        <f t="shared" si="14"/>
        <v>16.666666666666668</v>
      </c>
      <c r="BO16" s="89">
        <f t="shared" si="14"/>
        <v>16.666666666666668</v>
      </c>
      <c r="BP16" s="89">
        <f t="shared" si="14"/>
        <v>0</v>
      </c>
      <c r="BQ16" s="89">
        <f t="shared" si="14"/>
        <v>0</v>
      </c>
      <c r="BR16" s="89">
        <f t="shared" si="14"/>
        <v>0</v>
      </c>
      <c r="BS16" s="89">
        <f t="shared" si="14"/>
        <v>0</v>
      </c>
      <c r="BT16" s="89">
        <f t="shared" si="14"/>
        <v>0</v>
      </c>
      <c r="BU16" s="89">
        <f t="shared" si="14"/>
        <v>0</v>
      </c>
      <c r="BV16" s="89">
        <f t="shared" si="14"/>
        <v>0</v>
      </c>
    </row>
    <row r="17" spans="2:74" ht="18.75" customHeight="1">
      <c r="B17" s="84" t="s">
        <v>187</v>
      </c>
      <c r="C17" s="85" t="s">
        <v>51</v>
      </c>
      <c r="D17" s="85" t="s">
        <v>188</v>
      </c>
      <c r="E17" s="84" t="s">
        <v>17</v>
      </c>
      <c r="F17" s="84" t="s">
        <v>322</v>
      </c>
      <c r="G17" s="86">
        <v>45931</v>
      </c>
      <c r="H17" s="87">
        <v>200</v>
      </c>
      <c r="I17" s="87">
        <v>600</v>
      </c>
      <c r="J17" s="87">
        <v>1100</v>
      </c>
      <c r="K17" s="88">
        <f t="shared" si="0"/>
        <v>0</v>
      </c>
      <c r="L17" s="88">
        <f t="shared" si="1"/>
        <v>166.66666666666666</v>
      </c>
      <c r="M17" s="88">
        <f t="shared" si="2"/>
        <v>533.33333333333337</v>
      </c>
      <c r="N17" s="89">
        <f t="shared" si="9"/>
        <v>0</v>
      </c>
      <c r="O17" s="89">
        <f t="shared" si="9"/>
        <v>0</v>
      </c>
      <c r="P17" s="89">
        <f t="shared" si="9"/>
        <v>0</v>
      </c>
      <c r="Q17" s="89">
        <f t="shared" si="9"/>
        <v>0</v>
      </c>
      <c r="R17" s="89">
        <f t="shared" si="9"/>
        <v>0</v>
      </c>
      <c r="S17" s="89">
        <f t="shared" si="9"/>
        <v>0</v>
      </c>
      <c r="T17" s="89">
        <f t="shared" si="9"/>
        <v>0</v>
      </c>
      <c r="U17" s="89">
        <f t="shared" si="9"/>
        <v>0</v>
      </c>
      <c r="V17" s="89">
        <f t="shared" si="9"/>
        <v>0</v>
      </c>
      <c r="W17" s="89">
        <f t="shared" si="9"/>
        <v>0</v>
      </c>
      <c r="X17" s="89">
        <f t="shared" si="10"/>
        <v>0</v>
      </c>
      <c r="Y17" s="89">
        <f t="shared" si="10"/>
        <v>0</v>
      </c>
      <c r="Z17" s="89">
        <f t="shared" si="10"/>
        <v>0</v>
      </c>
      <c r="AA17" s="89">
        <f t="shared" si="10"/>
        <v>0</v>
      </c>
      <c r="AB17" s="89">
        <f t="shared" si="10"/>
        <v>0</v>
      </c>
      <c r="AC17" s="89">
        <f t="shared" si="10"/>
        <v>16.666666666666668</v>
      </c>
      <c r="AD17" s="89">
        <f t="shared" si="10"/>
        <v>16.666666666666668</v>
      </c>
      <c r="AE17" s="89">
        <f t="shared" si="10"/>
        <v>16.666666666666668</v>
      </c>
      <c r="AF17" s="89">
        <f t="shared" si="10"/>
        <v>16.666666666666668</v>
      </c>
      <c r="AG17" s="89">
        <f t="shared" si="10"/>
        <v>16.666666666666668</v>
      </c>
      <c r="AH17" s="89">
        <f t="shared" si="11"/>
        <v>16.666666666666668</v>
      </c>
      <c r="AI17" s="89">
        <f t="shared" si="11"/>
        <v>16.666666666666668</v>
      </c>
      <c r="AJ17" s="89">
        <f t="shared" si="11"/>
        <v>16.666666666666668</v>
      </c>
      <c r="AK17" s="89">
        <f t="shared" si="11"/>
        <v>16.666666666666668</v>
      </c>
      <c r="AL17" s="89">
        <f t="shared" si="11"/>
        <v>16.666666666666668</v>
      </c>
      <c r="AM17" s="89">
        <f t="shared" si="11"/>
        <v>16.666666666666668</v>
      </c>
      <c r="AN17" s="89">
        <f t="shared" si="11"/>
        <v>16.666666666666668</v>
      </c>
      <c r="AO17" s="89">
        <f t="shared" si="11"/>
        <v>50</v>
      </c>
      <c r="AP17" s="89">
        <f t="shared" si="11"/>
        <v>50</v>
      </c>
      <c r="AQ17" s="89">
        <f t="shared" si="11"/>
        <v>50</v>
      </c>
      <c r="AR17" s="89">
        <f t="shared" si="12"/>
        <v>50</v>
      </c>
      <c r="AS17" s="89">
        <f t="shared" si="12"/>
        <v>50</v>
      </c>
      <c r="AT17" s="89">
        <f t="shared" si="12"/>
        <v>50</v>
      </c>
      <c r="AU17" s="89">
        <f t="shared" si="12"/>
        <v>50</v>
      </c>
      <c r="AV17" s="89">
        <f t="shared" si="12"/>
        <v>50</v>
      </c>
      <c r="AW17" s="89">
        <f t="shared" si="12"/>
        <v>50</v>
      </c>
      <c r="AX17" s="89">
        <f t="shared" si="12"/>
        <v>50</v>
      </c>
      <c r="AY17" s="89">
        <f t="shared" si="12"/>
        <v>50</v>
      </c>
      <c r="AZ17" s="89">
        <f t="shared" si="12"/>
        <v>50</v>
      </c>
      <c r="BA17" s="89">
        <f t="shared" si="12"/>
        <v>91.666666666666671</v>
      </c>
      <c r="BB17" s="89">
        <f t="shared" si="13"/>
        <v>91.666666666666671</v>
      </c>
      <c r="BC17" s="89">
        <f t="shared" si="13"/>
        <v>91.666666666666671</v>
      </c>
      <c r="BD17" s="89">
        <f t="shared" si="13"/>
        <v>91.666666666666671</v>
      </c>
      <c r="BE17" s="89">
        <f t="shared" si="13"/>
        <v>91.666666666666671</v>
      </c>
      <c r="BF17" s="89">
        <f t="shared" si="13"/>
        <v>91.666666666666671</v>
      </c>
      <c r="BG17" s="89">
        <f t="shared" si="13"/>
        <v>91.666666666666671</v>
      </c>
      <c r="BH17" s="89">
        <f t="shared" si="13"/>
        <v>91.666666666666671</v>
      </c>
      <c r="BI17" s="89">
        <f t="shared" si="13"/>
        <v>91.666666666666671</v>
      </c>
      <c r="BJ17" s="89">
        <f t="shared" si="13"/>
        <v>91.666666666666671</v>
      </c>
      <c r="BK17" s="89">
        <f t="shared" si="13"/>
        <v>91.666666666666671</v>
      </c>
      <c r="BL17" s="89">
        <f t="shared" si="14"/>
        <v>91.666666666666671</v>
      </c>
      <c r="BM17" s="89">
        <f t="shared" si="14"/>
        <v>0</v>
      </c>
      <c r="BN17" s="89">
        <f t="shared" si="14"/>
        <v>0</v>
      </c>
      <c r="BO17" s="89">
        <f t="shared" si="14"/>
        <v>0</v>
      </c>
      <c r="BP17" s="89">
        <f t="shared" si="14"/>
        <v>0</v>
      </c>
      <c r="BQ17" s="89">
        <f t="shared" si="14"/>
        <v>0</v>
      </c>
      <c r="BR17" s="89">
        <f t="shared" si="14"/>
        <v>0</v>
      </c>
      <c r="BS17" s="89">
        <f t="shared" si="14"/>
        <v>0</v>
      </c>
      <c r="BT17" s="89">
        <f t="shared" si="14"/>
        <v>0</v>
      </c>
      <c r="BU17" s="89">
        <f t="shared" si="14"/>
        <v>0</v>
      </c>
      <c r="BV17" s="89">
        <f t="shared" si="14"/>
        <v>0</v>
      </c>
    </row>
    <row r="18" spans="2:74" ht="18.75" customHeight="1">
      <c r="B18" s="84" t="s">
        <v>187</v>
      </c>
      <c r="C18" s="85" t="s">
        <v>51</v>
      </c>
      <c r="D18" s="85" t="s">
        <v>188</v>
      </c>
      <c r="E18" s="85" t="s">
        <v>18</v>
      </c>
      <c r="F18" s="84" t="s">
        <v>322</v>
      </c>
      <c r="G18" s="86">
        <v>45931</v>
      </c>
      <c r="H18" s="87">
        <v>200</v>
      </c>
      <c r="I18" s="87">
        <v>400</v>
      </c>
      <c r="J18" s="87">
        <v>600</v>
      </c>
      <c r="K18" s="88">
        <f t="shared" si="0"/>
        <v>0</v>
      </c>
      <c r="L18" s="88">
        <f t="shared" si="1"/>
        <v>166.66666666666666</v>
      </c>
      <c r="M18" s="88">
        <f t="shared" si="2"/>
        <v>366.66666666666663</v>
      </c>
      <c r="N18" s="89">
        <f t="shared" si="9"/>
        <v>0</v>
      </c>
      <c r="O18" s="89">
        <f t="shared" si="9"/>
        <v>0</v>
      </c>
      <c r="P18" s="89">
        <f t="shared" si="9"/>
        <v>0</v>
      </c>
      <c r="Q18" s="89">
        <f t="shared" si="9"/>
        <v>0</v>
      </c>
      <c r="R18" s="89">
        <f t="shared" si="9"/>
        <v>0</v>
      </c>
      <c r="S18" s="89">
        <f t="shared" si="9"/>
        <v>0</v>
      </c>
      <c r="T18" s="89">
        <f t="shared" si="9"/>
        <v>0</v>
      </c>
      <c r="U18" s="89">
        <f t="shared" si="9"/>
        <v>0</v>
      </c>
      <c r="V18" s="89">
        <f t="shared" si="9"/>
        <v>0</v>
      </c>
      <c r="W18" s="89">
        <f t="shared" si="9"/>
        <v>0</v>
      </c>
      <c r="X18" s="89">
        <f t="shared" si="10"/>
        <v>0</v>
      </c>
      <c r="Y18" s="89">
        <f t="shared" si="10"/>
        <v>0</v>
      </c>
      <c r="Z18" s="89">
        <f t="shared" si="10"/>
        <v>0</v>
      </c>
      <c r="AA18" s="89">
        <f t="shared" si="10"/>
        <v>0</v>
      </c>
      <c r="AB18" s="89">
        <f t="shared" si="10"/>
        <v>0</v>
      </c>
      <c r="AC18" s="89">
        <f t="shared" si="10"/>
        <v>16.666666666666668</v>
      </c>
      <c r="AD18" s="89">
        <f t="shared" si="10"/>
        <v>16.666666666666668</v>
      </c>
      <c r="AE18" s="89">
        <f t="shared" si="10"/>
        <v>16.666666666666668</v>
      </c>
      <c r="AF18" s="89">
        <f t="shared" si="10"/>
        <v>16.666666666666668</v>
      </c>
      <c r="AG18" s="89">
        <f t="shared" si="10"/>
        <v>16.666666666666668</v>
      </c>
      <c r="AH18" s="89">
        <f t="shared" si="11"/>
        <v>16.666666666666668</v>
      </c>
      <c r="AI18" s="89">
        <f t="shared" si="11"/>
        <v>16.666666666666668</v>
      </c>
      <c r="AJ18" s="89">
        <f t="shared" si="11"/>
        <v>16.666666666666668</v>
      </c>
      <c r="AK18" s="89">
        <f t="shared" si="11"/>
        <v>16.666666666666668</v>
      </c>
      <c r="AL18" s="89">
        <f t="shared" si="11"/>
        <v>16.666666666666668</v>
      </c>
      <c r="AM18" s="89">
        <f t="shared" si="11"/>
        <v>16.666666666666668</v>
      </c>
      <c r="AN18" s="89">
        <f t="shared" si="11"/>
        <v>16.666666666666668</v>
      </c>
      <c r="AO18" s="89">
        <f t="shared" si="11"/>
        <v>33.333333333333336</v>
      </c>
      <c r="AP18" s="89">
        <f t="shared" si="11"/>
        <v>33.333333333333336</v>
      </c>
      <c r="AQ18" s="89">
        <f t="shared" si="11"/>
        <v>33.333333333333336</v>
      </c>
      <c r="AR18" s="89">
        <f t="shared" si="12"/>
        <v>33.333333333333336</v>
      </c>
      <c r="AS18" s="89">
        <f t="shared" si="12"/>
        <v>33.333333333333336</v>
      </c>
      <c r="AT18" s="89">
        <f t="shared" si="12"/>
        <v>33.333333333333336</v>
      </c>
      <c r="AU18" s="89">
        <f t="shared" si="12"/>
        <v>33.333333333333336</v>
      </c>
      <c r="AV18" s="89">
        <f t="shared" si="12"/>
        <v>33.333333333333336</v>
      </c>
      <c r="AW18" s="89">
        <f t="shared" si="12"/>
        <v>33.333333333333336</v>
      </c>
      <c r="AX18" s="89">
        <f t="shared" si="12"/>
        <v>33.333333333333336</v>
      </c>
      <c r="AY18" s="89">
        <f t="shared" si="12"/>
        <v>33.333333333333336</v>
      </c>
      <c r="AZ18" s="89">
        <f t="shared" si="12"/>
        <v>33.333333333333336</v>
      </c>
      <c r="BA18" s="89">
        <f t="shared" si="12"/>
        <v>50</v>
      </c>
      <c r="BB18" s="89">
        <f t="shared" si="13"/>
        <v>50</v>
      </c>
      <c r="BC18" s="89">
        <f t="shared" si="13"/>
        <v>50</v>
      </c>
      <c r="BD18" s="89">
        <f t="shared" si="13"/>
        <v>50</v>
      </c>
      <c r="BE18" s="89">
        <f t="shared" si="13"/>
        <v>50</v>
      </c>
      <c r="BF18" s="89">
        <f t="shared" si="13"/>
        <v>50</v>
      </c>
      <c r="BG18" s="89">
        <f t="shared" si="13"/>
        <v>50</v>
      </c>
      <c r="BH18" s="89">
        <f t="shared" si="13"/>
        <v>50</v>
      </c>
      <c r="BI18" s="89">
        <f t="shared" si="13"/>
        <v>50</v>
      </c>
      <c r="BJ18" s="89">
        <f t="shared" si="13"/>
        <v>50</v>
      </c>
      <c r="BK18" s="89">
        <f t="shared" si="13"/>
        <v>50</v>
      </c>
      <c r="BL18" s="89">
        <f t="shared" si="14"/>
        <v>50</v>
      </c>
      <c r="BM18" s="89">
        <f t="shared" si="14"/>
        <v>0</v>
      </c>
      <c r="BN18" s="89">
        <f t="shared" si="14"/>
        <v>0</v>
      </c>
      <c r="BO18" s="89">
        <f t="shared" si="14"/>
        <v>0</v>
      </c>
      <c r="BP18" s="89">
        <f t="shared" si="14"/>
        <v>0</v>
      </c>
      <c r="BQ18" s="89">
        <f t="shared" si="14"/>
        <v>0</v>
      </c>
      <c r="BR18" s="89">
        <f t="shared" si="14"/>
        <v>0</v>
      </c>
      <c r="BS18" s="89">
        <f t="shared" si="14"/>
        <v>0</v>
      </c>
      <c r="BT18" s="89">
        <f t="shared" si="14"/>
        <v>0</v>
      </c>
      <c r="BU18" s="89">
        <f t="shared" si="14"/>
        <v>0</v>
      </c>
      <c r="BV18" s="89">
        <f t="shared" si="14"/>
        <v>0</v>
      </c>
    </row>
    <row r="19" spans="2:74" ht="18.75" customHeight="1">
      <c r="B19" s="84" t="s">
        <v>101</v>
      </c>
      <c r="C19" s="85" t="s">
        <v>88</v>
      </c>
      <c r="D19" s="85" t="s">
        <v>102</v>
      </c>
      <c r="E19" s="84" t="s">
        <v>17</v>
      </c>
      <c r="F19" s="84" t="s">
        <v>322</v>
      </c>
      <c r="G19" s="86">
        <v>45748</v>
      </c>
      <c r="H19" s="87">
        <v>200</v>
      </c>
      <c r="I19" s="87">
        <v>400</v>
      </c>
      <c r="J19" s="87">
        <v>600</v>
      </c>
      <c r="K19" s="88">
        <f t="shared" si="0"/>
        <v>66.666666666666671</v>
      </c>
      <c r="L19" s="88">
        <f t="shared" si="1"/>
        <v>266.66666666666669</v>
      </c>
      <c r="M19" s="88">
        <f t="shared" si="2"/>
        <v>466.66666666666669</v>
      </c>
      <c r="N19" s="89">
        <f t="shared" si="9"/>
        <v>0</v>
      </c>
      <c r="O19" s="89">
        <f t="shared" si="9"/>
        <v>0</v>
      </c>
      <c r="P19" s="89">
        <f t="shared" si="9"/>
        <v>0</v>
      </c>
      <c r="Q19" s="89">
        <f t="shared" si="9"/>
        <v>0</v>
      </c>
      <c r="R19" s="89">
        <f t="shared" si="9"/>
        <v>0</v>
      </c>
      <c r="S19" s="89">
        <f t="shared" si="9"/>
        <v>0</v>
      </c>
      <c r="T19" s="89">
        <f t="shared" si="9"/>
        <v>0</v>
      </c>
      <c r="U19" s="89">
        <f t="shared" si="9"/>
        <v>0</v>
      </c>
      <c r="V19" s="89">
        <f t="shared" si="9"/>
        <v>0</v>
      </c>
      <c r="W19" s="89">
        <f t="shared" si="9"/>
        <v>16.666666666666668</v>
      </c>
      <c r="X19" s="89">
        <f t="shared" si="10"/>
        <v>16.666666666666668</v>
      </c>
      <c r="Y19" s="89">
        <f t="shared" si="10"/>
        <v>16.666666666666668</v>
      </c>
      <c r="Z19" s="89">
        <f t="shared" si="10"/>
        <v>16.666666666666668</v>
      </c>
      <c r="AA19" s="89">
        <f t="shared" si="10"/>
        <v>16.666666666666668</v>
      </c>
      <c r="AB19" s="89">
        <f t="shared" si="10"/>
        <v>16.666666666666668</v>
      </c>
      <c r="AC19" s="89">
        <f t="shared" si="10"/>
        <v>16.666666666666668</v>
      </c>
      <c r="AD19" s="89">
        <f t="shared" si="10"/>
        <v>16.666666666666668</v>
      </c>
      <c r="AE19" s="89">
        <f t="shared" si="10"/>
        <v>16.666666666666668</v>
      </c>
      <c r="AF19" s="89">
        <f t="shared" si="10"/>
        <v>16.666666666666668</v>
      </c>
      <c r="AG19" s="89">
        <f t="shared" si="10"/>
        <v>16.666666666666668</v>
      </c>
      <c r="AH19" s="89">
        <f t="shared" si="11"/>
        <v>16.666666666666668</v>
      </c>
      <c r="AI19" s="89">
        <f t="shared" si="11"/>
        <v>33.333333333333336</v>
      </c>
      <c r="AJ19" s="89">
        <f t="shared" si="11"/>
        <v>33.333333333333336</v>
      </c>
      <c r="AK19" s="89">
        <f t="shared" si="11"/>
        <v>33.333333333333336</v>
      </c>
      <c r="AL19" s="89">
        <f t="shared" si="11"/>
        <v>33.333333333333336</v>
      </c>
      <c r="AM19" s="89">
        <f t="shared" si="11"/>
        <v>33.333333333333336</v>
      </c>
      <c r="AN19" s="89">
        <f t="shared" si="11"/>
        <v>33.333333333333336</v>
      </c>
      <c r="AO19" s="89">
        <f t="shared" si="11"/>
        <v>33.333333333333336</v>
      </c>
      <c r="AP19" s="89">
        <f t="shared" si="11"/>
        <v>33.333333333333336</v>
      </c>
      <c r="AQ19" s="89">
        <f t="shared" si="11"/>
        <v>33.333333333333336</v>
      </c>
      <c r="AR19" s="89">
        <f t="shared" si="12"/>
        <v>33.333333333333336</v>
      </c>
      <c r="AS19" s="89">
        <f t="shared" si="12"/>
        <v>33.333333333333336</v>
      </c>
      <c r="AT19" s="89">
        <f t="shared" si="12"/>
        <v>33.333333333333336</v>
      </c>
      <c r="AU19" s="89">
        <f t="shared" si="12"/>
        <v>50</v>
      </c>
      <c r="AV19" s="89">
        <f t="shared" si="12"/>
        <v>50</v>
      </c>
      <c r="AW19" s="89">
        <f t="shared" si="12"/>
        <v>50</v>
      </c>
      <c r="AX19" s="89">
        <f t="shared" si="12"/>
        <v>50</v>
      </c>
      <c r="AY19" s="89">
        <f t="shared" si="12"/>
        <v>50</v>
      </c>
      <c r="AZ19" s="89">
        <f t="shared" si="12"/>
        <v>50</v>
      </c>
      <c r="BA19" s="89">
        <f t="shared" si="12"/>
        <v>50</v>
      </c>
      <c r="BB19" s="89">
        <f t="shared" si="13"/>
        <v>50</v>
      </c>
      <c r="BC19" s="89">
        <f t="shared" si="13"/>
        <v>50</v>
      </c>
      <c r="BD19" s="89">
        <f t="shared" si="13"/>
        <v>50</v>
      </c>
      <c r="BE19" s="89">
        <f t="shared" si="13"/>
        <v>50</v>
      </c>
      <c r="BF19" s="89">
        <f t="shared" si="13"/>
        <v>50</v>
      </c>
      <c r="BG19" s="89">
        <f t="shared" si="13"/>
        <v>0</v>
      </c>
      <c r="BH19" s="89">
        <f t="shared" si="13"/>
        <v>0</v>
      </c>
      <c r="BI19" s="89">
        <f t="shared" si="13"/>
        <v>0</v>
      </c>
      <c r="BJ19" s="89">
        <f t="shared" si="13"/>
        <v>0</v>
      </c>
      <c r="BK19" s="89">
        <f t="shared" si="13"/>
        <v>0</v>
      </c>
      <c r="BL19" s="89">
        <f t="shared" si="14"/>
        <v>0</v>
      </c>
      <c r="BM19" s="89">
        <f t="shared" si="14"/>
        <v>0</v>
      </c>
      <c r="BN19" s="89">
        <f t="shared" si="14"/>
        <v>0</v>
      </c>
      <c r="BO19" s="89">
        <f t="shared" si="14"/>
        <v>0</v>
      </c>
      <c r="BP19" s="89">
        <f t="shared" si="14"/>
        <v>0</v>
      </c>
      <c r="BQ19" s="89">
        <f t="shared" si="14"/>
        <v>0</v>
      </c>
      <c r="BR19" s="89">
        <f t="shared" si="14"/>
        <v>0</v>
      </c>
      <c r="BS19" s="89">
        <f t="shared" si="14"/>
        <v>0</v>
      </c>
      <c r="BT19" s="89">
        <f t="shared" si="14"/>
        <v>0</v>
      </c>
      <c r="BU19" s="89">
        <f t="shared" si="14"/>
        <v>0</v>
      </c>
      <c r="BV19" s="89">
        <f t="shared" si="14"/>
        <v>0</v>
      </c>
    </row>
    <row r="20" spans="2:74" ht="18.75" customHeight="1">
      <c r="B20" s="84" t="s">
        <v>101</v>
      </c>
      <c r="C20" s="85" t="s">
        <v>88</v>
      </c>
      <c r="D20" s="85" t="s">
        <v>102</v>
      </c>
      <c r="E20" s="85" t="s">
        <v>18</v>
      </c>
      <c r="F20" s="84" t="s">
        <v>322</v>
      </c>
      <c r="G20" s="86">
        <v>45748</v>
      </c>
      <c r="H20" s="87">
        <v>200</v>
      </c>
      <c r="I20" s="87">
        <v>400</v>
      </c>
      <c r="J20" s="87">
        <v>600</v>
      </c>
      <c r="K20" s="88">
        <f t="shared" si="0"/>
        <v>66.666666666666671</v>
      </c>
      <c r="L20" s="88">
        <f t="shared" si="1"/>
        <v>266.66666666666669</v>
      </c>
      <c r="M20" s="88">
        <f t="shared" si="2"/>
        <v>466.66666666666669</v>
      </c>
      <c r="N20" s="89">
        <f t="shared" si="9"/>
        <v>0</v>
      </c>
      <c r="O20" s="89">
        <f t="shared" si="9"/>
        <v>0</v>
      </c>
      <c r="P20" s="89">
        <f t="shared" si="9"/>
        <v>0</v>
      </c>
      <c r="Q20" s="89">
        <f t="shared" si="9"/>
        <v>0</v>
      </c>
      <c r="R20" s="89">
        <f t="shared" si="9"/>
        <v>0</v>
      </c>
      <c r="S20" s="89">
        <f t="shared" si="9"/>
        <v>0</v>
      </c>
      <c r="T20" s="89">
        <f t="shared" si="9"/>
        <v>0</v>
      </c>
      <c r="U20" s="89">
        <f t="shared" si="9"/>
        <v>0</v>
      </c>
      <c r="V20" s="89">
        <f t="shared" si="9"/>
        <v>0</v>
      </c>
      <c r="W20" s="89">
        <f t="shared" si="9"/>
        <v>16.666666666666668</v>
      </c>
      <c r="X20" s="89">
        <f t="shared" si="10"/>
        <v>16.666666666666668</v>
      </c>
      <c r="Y20" s="89">
        <f t="shared" si="10"/>
        <v>16.666666666666668</v>
      </c>
      <c r="Z20" s="89">
        <f t="shared" si="10"/>
        <v>16.666666666666668</v>
      </c>
      <c r="AA20" s="89">
        <f t="shared" si="10"/>
        <v>16.666666666666668</v>
      </c>
      <c r="AB20" s="89">
        <f t="shared" si="10"/>
        <v>16.666666666666668</v>
      </c>
      <c r="AC20" s="89">
        <f t="shared" si="10"/>
        <v>16.666666666666668</v>
      </c>
      <c r="AD20" s="89">
        <f t="shared" si="10"/>
        <v>16.666666666666668</v>
      </c>
      <c r="AE20" s="89">
        <f t="shared" si="10"/>
        <v>16.666666666666668</v>
      </c>
      <c r="AF20" s="89">
        <f t="shared" si="10"/>
        <v>16.666666666666668</v>
      </c>
      <c r="AG20" s="89">
        <f t="shared" si="10"/>
        <v>16.666666666666668</v>
      </c>
      <c r="AH20" s="89">
        <f t="shared" si="11"/>
        <v>16.666666666666668</v>
      </c>
      <c r="AI20" s="89">
        <f t="shared" si="11"/>
        <v>33.333333333333336</v>
      </c>
      <c r="AJ20" s="89">
        <f t="shared" si="11"/>
        <v>33.333333333333336</v>
      </c>
      <c r="AK20" s="89">
        <f t="shared" si="11"/>
        <v>33.333333333333336</v>
      </c>
      <c r="AL20" s="89">
        <f t="shared" si="11"/>
        <v>33.333333333333336</v>
      </c>
      <c r="AM20" s="89">
        <f t="shared" si="11"/>
        <v>33.333333333333336</v>
      </c>
      <c r="AN20" s="89">
        <f t="shared" si="11"/>
        <v>33.333333333333336</v>
      </c>
      <c r="AO20" s="89">
        <f t="shared" si="11"/>
        <v>33.333333333333336</v>
      </c>
      <c r="AP20" s="89">
        <f t="shared" si="11"/>
        <v>33.333333333333336</v>
      </c>
      <c r="AQ20" s="89">
        <f t="shared" si="11"/>
        <v>33.333333333333336</v>
      </c>
      <c r="AR20" s="89">
        <f t="shared" si="12"/>
        <v>33.333333333333336</v>
      </c>
      <c r="AS20" s="89">
        <f t="shared" si="12"/>
        <v>33.333333333333336</v>
      </c>
      <c r="AT20" s="89">
        <f t="shared" si="12"/>
        <v>33.333333333333336</v>
      </c>
      <c r="AU20" s="89">
        <f t="shared" si="12"/>
        <v>50</v>
      </c>
      <c r="AV20" s="89">
        <f t="shared" si="12"/>
        <v>50</v>
      </c>
      <c r="AW20" s="89">
        <f t="shared" si="12"/>
        <v>50</v>
      </c>
      <c r="AX20" s="89">
        <f t="shared" si="12"/>
        <v>50</v>
      </c>
      <c r="AY20" s="89">
        <f t="shared" si="12"/>
        <v>50</v>
      </c>
      <c r="AZ20" s="89">
        <f t="shared" si="12"/>
        <v>50</v>
      </c>
      <c r="BA20" s="89">
        <f t="shared" si="12"/>
        <v>50</v>
      </c>
      <c r="BB20" s="89">
        <f t="shared" si="13"/>
        <v>50</v>
      </c>
      <c r="BC20" s="89">
        <f t="shared" si="13"/>
        <v>50</v>
      </c>
      <c r="BD20" s="89">
        <f t="shared" si="13"/>
        <v>50</v>
      </c>
      <c r="BE20" s="89">
        <f t="shared" si="13"/>
        <v>50</v>
      </c>
      <c r="BF20" s="89">
        <f t="shared" si="13"/>
        <v>50</v>
      </c>
      <c r="BG20" s="89">
        <f t="shared" si="13"/>
        <v>0</v>
      </c>
      <c r="BH20" s="89">
        <f t="shared" si="13"/>
        <v>0</v>
      </c>
      <c r="BI20" s="89">
        <f t="shared" si="13"/>
        <v>0</v>
      </c>
      <c r="BJ20" s="89">
        <f t="shared" si="13"/>
        <v>0</v>
      </c>
      <c r="BK20" s="89">
        <f t="shared" si="13"/>
        <v>0</v>
      </c>
      <c r="BL20" s="89">
        <f t="shared" si="14"/>
        <v>0</v>
      </c>
      <c r="BM20" s="89">
        <f t="shared" si="14"/>
        <v>0</v>
      </c>
      <c r="BN20" s="89">
        <f t="shared" si="14"/>
        <v>0</v>
      </c>
      <c r="BO20" s="89">
        <f t="shared" si="14"/>
        <v>0</v>
      </c>
      <c r="BP20" s="89">
        <f t="shared" si="14"/>
        <v>0</v>
      </c>
      <c r="BQ20" s="89">
        <f t="shared" si="14"/>
        <v>0</v>
      </c>
      <c r="BR20" s="89">
        <f t="shared" si="14"/>
        <v>0</v>
      </c>
      <c r="BS20" s="89">
        <f t="shared" si="14"/>
        <v>0</v>
      </c>
      <c r="BT20" s="89">
        <f t="shared" si="14"/>
        <v>0</v>
      </c>
      <c r="BU20" s="89">
        <f t="shared" si="14"/>
        <v>0</v>
      </c>
      <c r="BV20" s="89">
        <f t="shared" si="14"/>
        <v>0</v>
      </c>
    </row>
    <row r="21" spans="2:74" ht="18.75" customHeight="1">
      <c r="B21" s="84" t="s">
        <v>204</v>
      </c>
      <c r="C21" s="85" t="s">
        <v>51</v>
      </c>
      <c r="D21" s="85" t="s">
        <v>161</v>
      </c>
      <c r="E21" s="84" t="s">
        <v>17</v>
      </c>
      <c r="F21" s="84" t="s">
        <v>322</v>
      </c>
      <c r="G21" s="86">
        <v>46143</v>
      </c>
      <c r="H21" s="87">
        <v>200</v>
      </c>
      <c r="I21" s="87">
        <v>400</v>
      </c>
      <c r="J21" s="87">
        <v>600</v>
      </c>
      <c r="K21" s="88">
        <f t="shared" si="0"/>
        <v>0</v>
      </c>
      <c r="L21" s="88">
        <f t="shared" si="1"/>
        <v>50</v>
      </c>
      <c r="M21" s="88">
        <f t="shared" si="2"/>
        <v>250.00000000000003</v>
      </c>
      <c r="N21" s="89">
        <f t="shared" si="9"/>
        <v>0</v>
      </c>
      <c r="O21" s="89">
        <f t="shared" si="9"/>
        <v>0</v>
      </c>
      <c r="P21" s="89">
        <f t="shared" si="9"/>
        <v>0</v>
      </c>
      <c r="Q21" s="89">
        <f t="shared" si="9"/>
        <v>0</v>
      </c>
      <c r="R21" s="89">
        <f t="shared" si="9"/>
        <v>0</v>
      </c>
      <c r="S21" s="89">
        <f t="shared" si="9"/>
        <v>0</v>
      </c>
      <c r="T21" s="89">
        <f t="shared" si="9"/>
        <v>0</v>
      </c>
      <c r="U21" s="89">
        <f t="shared" si="9"/>
        <v>0</v>
      </c>
      <c r="V21" s="89">
        <f t="shared" si="9"/>
        <v>0</v>
      </c>
      <c r="W21" s="89">
        <f t="shared" si="9"/>
        <v>0</v>
      </c>
      <c r="X21" s="89">
        <f t="shared" si="10"/>
        <v>0</v>
      </c>
      <c r="Y21" s="89">
        <f t="shared" si="10"/>
        <v>0</v>
      </c>
      <c r="Z21" s="89">
        <f t="shared" si="10"/>
        <v>0</v>
      </c>
      <c r="AA21" s="89">
        <f t="shared" si="10"/>
        <v>0</v>
      </c>
      <c r="AB21" s="89">
        <f t="shared" si="10"/>
        <v>0</v>
      </c>
      <c r="AC21" s="89">
        <f t="shared" si="10"/>
        <v>0</v>
      </c>
      <c r="AD21" s="89">
        <f t="shared" si="10"/>
        <v>0</v>
      </c>
      <c r="AE21" s="89">
        <f t="shared" si="10"/>
        <v>0</v>
      </c>
      <c r="AF21" s="89">
        <f t="shared" si="10"/>
        <v>0</v>
      </c>
      <c r="AG21" s="89">
        <f t="shared" si="10"/>
        <v>0</v>
      </c>
      <c r="AH21" s="89">
        <f t="shared" si="11"/>
        <v>0</v>
      </c>
      <c r="AI21" s="89">
        <f t="shared" si="11"/>
        <v>0</v>
      </c>
      <c r="AJ21" s="89">
        <f t="shared" si="11"/>
        <v>16.666666666666668</v>
      </c>
      <c r="AK21" s="89">
        <f t="shared" si="11"/>
        <v>16.666666666666668</v>
      </c>
      <c r="AL21" s="89">
        <f t="shared" si="11"/>
        <v>16.666666666666668</v>
      </c>
      <c r="AM21" s="89">
        <f t="shared" si="11"/>
        <v>16.666666666666668</v>
      </c>
      <c r="AN21" s="89">
        <f t="shared" si="11"/>
        <v>16.666666666666668</v>
      </c>
      <c r="AO21" s="89">
        <f t="shared" si="11"/>
        <v>16.666666666666668</v>
      </c>
      <c r="AP21" s="89">
        <f t="shared" si="11"/>
        <v>16.666666666666668</v>
      </c>
      <c r="AQ21" s="89">
        <f t="shared" si="11"/>
        <v>16.666666666666668</v>
      </c>
      <c r="AR21" s="89">
        <f t="shared" si="12"/>
        <v>16.666666666666668</v>
      </c>
      <c r="AS21" s="89">
        <f t="shared" si="12"/>
        <v>16.666666666666668</v>
      </c>
      <c r="AT21" s="89">
        <f t="shared" si="12"/>
        <v>16.666666666666668</v>
      </c>
      <c r="AU21" s="89">
        <f t="shared" si="12"/>
        <v>16.666666666666668</v>
      </c>
      <c r="AV21" s="89">
        <f t="shared" si="12"/>
        <v>33.333333333333336</v>
      </c>
      <c r="AW21" s="89">
        <f t="shared" si="12"/>
        <v>33.333333333333336</v>
      </c>
      <c r="AX21" s="89">
        <f t="shared" si="12"/>
        <v>33.333333333333336</v>
      </c>
      <c r="AY21" s="89">
        <f t="shared" si="12"/>
        <v>33.333333333333336</v>
      </c>
      <c r="AZ21" s="89">
        <f t="shared" si="12"/>
        <v>33.333333333333336</v>
      </c>
      <c r="BA21" s="89">
        <f t="shared" si="12"/>
        <v>33.333333333333336</v>
      </c>
      <c r="BB21" s="89">
        <f t="shared" si="13"/>
        <v>33.333333333333336</v>
      </c>
      <c r="BC21" s="89">
        <f t="shared" si="13"/>
        <v>33.333333333333336</v>
      </c>
      <c r="BD21" s="89">
        <f t="shared" si="13"/>
        <v>33.333333333333336</v>
      </c>
      <c r="BE21" s="89">
        <f t="shared" si="13"/>
        <v>33.333333333333336</v>
      </c>
      <c r="BF21" s="89">
        <f t="shared" si="13"/>
        <v>33.333333333333336</v>
      </c>
      <c r="BG21" s="89">
        <f t="shared" si="13"/>
        <v>33.333333333333336</v>
      </c>
      <c r="BH21" s="89">
        <f t="shared" si="13"/>
        <v>50</v>
      </c>
      <c r="BI21" s="89">
        <f t="shared" si="13"/>
        <v>50</v>
      </c>
      <c r="BJ21" s="89">
        <f t="shared" si="13"/>
        <v>50</v>
      </c>
      <c r="BK21" s="89">
        <f t="shared" si="13"/>
        <v>50</v>
      </c>
      <c r="BL21" s="89">
        <f t="shared" si="14"/>
        <v>50</v>
      </c>
      <c r="BM21" s="89">
        <f t="shared" si="14"/>
        <v>50</v>
      </c>
      <c r="BN21" s="89">
        <f t="shared" si="14"/>
        <v>50</v>
      </c>
      <c r="BO21" s="89">
        <f t="shared" si="14"/>
        <v>50</v>
      </c>
      <c r="BP21" s="89">
        <f t="shared" si="14"/>
        <v>50</v>
      </c>
      <c r="BQ21" s="89">
        <f t="shared" si="14"/>
        <v>50</v>
      </c>
      <c r="BR21" s="89">
        <f t="shared" si="14"/>
        <v>50</v>
      </c>
      <c r="BS21" s="89">
        <f t="shared" si="14"/>
        <v>50</v>
      </c>
      <c r="BT21" s="89">
        <f t="shared" si="14"/>
        <v>0</v>
      </c>
      <c r="BU21" s="89">
        <f t="shared" si="14"/>
        <v>0</v>
      </c>
      <c r="BV21" s="89">
        <f t="shared" si="14"/>
        <v>0</v>
      </c>
    </row>
    <row r="22" spans="2:74" ht="18.75" customHeight="1">
      <c r="B22" s="84" t="s">
        <v>204</v>
      </c>
      <c r="C22" s="85" t="s">
        <v>51</v>
      </c>
      <c r="D22" s="85" t="s">
        <v>161</v>
      </c>
      <c r="E22" s="85" t="s">
        <v>18</v>
      </c>
      <c r="F22" s="84" t="s">
        <v>322</v>
      </c>
      <c r="G22" s="86">
        <v>46143</v>
      </c>
      <c r="H22" s="87">
        <v>200</v>
      </c>
      <c r="I22" s="87">
        <v>400</v>
      </c>
      <c r="J22" s="87">
        <v>600</v>
      </c>
      <c r="K22" s="88">
        <f t="shared" si="0"/>
        <v>0</v>
      </c>
      <c r="L22" s="88">
        <f t="shared" si="1"/>
        <v>50</v>
      </c>
      <c r="M22" s="88">
        <f t="shared" si="2"/>
        <v>250.00000000000003</v>
      </c>
      <c r="N22" s="89">
        <f t="shared" si="9"/>
        <v>0</v>
      </c>
      <c r="O22" s="89">
        <f t="shared" si="9"/>
        <v>0</v>
      </c>
      <c r="P22" s="89">
        <f t="shared" si="9"/>
        <v>0</v>
      </c>
      <c r="Q22" s="89">
        <f t="shared" si="9"/>
        <v>0</v>
      </c>
      <c r="R22" s="89">
        <f t="shared" si="9"/>
        <v>0</v>
      </c>
      <c r="S22" s="89">
        <f t="shared" si="9"/>
        <v>0</v>
      </c>
      <c r="T22" s="89">
        <f t="shared" si="9"/>
        <v>0</v>
      </c>
      <c r="U22" s="89">
        <f t="shared" si="9"/>
        <v>0</v>
      </c>
      <c r="V22" s="89">
        <f t="shared" si="9"/>
        <v>0</v>
      </c>
      <c r="W22" s="89">
        <f t="shared" si="9"/>
        <v>0</v>
      </c>
      <c r="X22" s="89">
        <f t="shared" si="10"/>
        <v>0</v>
      </c>
      <c r="Y22" s="89">
        <f t="shared" si="10"/>
        <v>0</v>
      </c>
      <c r="Z22" s="89">
        <f t="shared" si="10"/>
        <v>0</v>
      </c>
      <c r="AA22" s="89">
        <f t="shared" si="10"/>
        <v>0</v>
      </c>
      <c r="AB22" s="89">
        <f t="shared" si="10"/>
        <v>0</v>
      </c>
      <c r="AC22" s="89">
        <f t="shared" si="10"/>
        <v>0</v>
      </c>
      <c r="AD22" s="89">
        <f t="shared" si="10"/>
        <v>0</v>
      </c>
      <c r="AE22" s="89">
        <f t="shared" si="10"/>
        <v>0</v>
      </c>
      <c r="AF22" s="89">
        <f t="shared" si="10"/>
        <v>0</v>
      </c>
      <c r="AG22" s="89">
        <f t="shared" si="10"/>
        <v>0</v>
      </c>
      <c r="AH22" s="89">
        <f t="shared" si="11"/>
        <v>0</v>
      </c>
      <c r="AI22" s="89">
        <f t="shared" si="11"/>
        <v>0</v>
      </c>
      <c r="AJ22" s="89">
        <f t="shared" si="11"/>
        <v>16.666666666666668</v>
      </c>
      <c r="AK22" s="89">
        <f t="shared" si="11"/>
        <v>16.666666666666668</v>
      </c>
      <c r="AL22" s="89">
        <f t="shared" si="11"/>
        <v>16.666666666666668</v>
      </c>
      <c r="AM22" s="89">
        <f t="shared" si="11"/>
        <v>16.666666666666668</v>
      </c>
      <c r="AN22" s="89">
        <f t="shared" si="11"/>
        <v>16.666666666666668</v>
      </c>
      <c r="AO22" s="89">
        <f t="shared" si="11"/>
        <v>16.666666666666668</v>
      </c>
      <c r="AP22" s="89">
        <f t="shared" si="11"/>
        <v>16.666666666666668</v>
      </c>
      <c r="AQ22" s="89">
        <f t="shared" si="11"/>
        <v>16.666666666666668</v>
      </c>
      <c r="AR22" s="89">
        <f t="shared" si="12"/>
        <v>16.666666666666668</v>
      </c>
      <c r="AS22" s="89">
        <f t="shared" si="12"/>
        <v>16.666666666666668</v>
      </c>
      <c r="AT22" s="89">
        <f t="shared" si="12"/>
        <v>16.666666666666668</v>
      </c>
      <c r="AU22" s="89">
        <f t="shared" si="12"/>
        <v>16.666666666666668</v>
      </c>
      <c r="AV22" s="89">
        <f t="shared" si="12"/>
        <v>33.333333333333336</v>
      </c>
      <c r="AW22" s="89">
        <f t="shared" si="12"/>
        <v>33.333333333333336</v>
      </c>
      <c r="AX22" s="89">
        <f t="shared" si="12"/>
        <v>33.333333333333336</v>
      </c>
      <c r="AY22" s="89">
        <f t="shared" si="12"/>
        <v>33.333333333333336</v>
      </c>
      <c r="AZ22" s="89">
        <f t="shared" si="12"/>
        <v>33.333333333333336</v>
      </c>
      <c r="BA22" s="89">
        <f t="shared" si="12"/>
        <v>33.333333333333336</v>
      </c>
      <c r="BB22" s="89">
        <f t="shared" si="13"/>
        <v>33.333333333333336</v>
      </c>
      <c r="BC22" s="89">
        <f t="shared" si="13"/>
        <v>33.333333333333336</v>
      </c>
      <c r="BD22" s="89">
        <f t="shared" si="13"/>
        <v>33.333333333333336</v>
      </c>
      <c r="BE22" s="89">
        <f t="shared" si="13"/>
        <v>33.333333333333336</v>
      </c>
      <c r="BF22" s="89">
        <f t="shared" si="13"/>
        <v>33.333333333333336</v>
      </c>
      <c r="BG22" s="89">
        <f t="shared" si="13"/>
        <v>33.333333333333336</v>
      </c>
      <c r="BH22" s="89">
        <f t="shared" si="13"/>
        <v>50</v>
      </c>
      <c r="BI22" s="89">
        <f t="shared" si="13"/>
        <v>50</v>
      </c>
      <c r="BJ22" s="89">
        <f t="shared" si="13"/>
        <v>50</v>
      </c>
      <c r="BK22" s="89">
        <f t="shared" si="13"/>
        <v>50</v>
      </c>
      <c r="BL22" s="89">
        <f t="shared" si="14"/>
        <v>50</v>
      </c>
      <c r="BM22" s="89">
        <f t="shared" si="14"/>
        <v>50</v>
      </c>
      <c r="BN22" s="89">
        <f t="shared" si="14"/>
        <v>50</v>
      </c>
      <c r="BO22" s="89">
        <f t="shared" si="14"/>
        <v>50</v>
      </c>
      <c r="BP22" s="89">
        <f t="shared" si="14"/>
        <v>50</v>
      </c>
      <c r="BQ22" s="89">
        <f t="shared" si="14"/>
        <v>50</v>
      </c>
      <c r="BR22" s="89">
        <f t="shared" si="14"/>
        <v>50</v>
      </c>
      <c r="BS22" s="89">
        <f t="shared" si="14"/>
        <v>50</v>
      </c>
      <c r="BT22" s="89">
        <f t="shared" si="14"/>
        <v>0</v>
      </c>
      <c r="BU22" s="89">
        <f t="shared" si="14"/>
        <v>0</v>
      </c>
      <c r="BV22" s="89">
        <f t="shared" si="14"/>
        <v>0</v>
      </c>
    </row>
    <row r="23" spans="2:74" ht="18.75" customHeight="1">
      <c r="B23" s="84" t="s">
        <v>160</v>
      </c>
      <c r="C23" s="85" t="s">
        <v>88</v>
      </c>
      <c r="D23" s="85" t="s">
        <v>161</v>
      </c>
      <c r="E23" s="85" t="s">
        <v>18</v>
      </c>
      <c r="F23" s="84" t="s">
        <v>322</v>
      </c>
      <c r="G23" s="86">
        <v>45931</v>
      </c>
      <c r="H23" s="87">
        <v>275</v>
      </c>
      <c r="I23" s="87">
        <v>700</v>
      </c>
      <c r="J23" s="87">
        <v>1500</v>
      </c>
      <c r="K23" s="88">
        <f t="shared" si="0"/>
        <v>0</v>
      </c>
      <c r="L23" s="88">
        <f t="shared" si="1"/>
        <v>229.16666666666663</v>
      </c>
      <c r="M23" s="88">
        <f t="shared" si="2"/>
        <v>629.16666666666674</v>
      </c>
      <c r="N23" s="89">
        <f t="shared" si="9"/>
        <v>0</v>
      </c>
      <c r="O23" s="89">
        <f t="shared" si="9"/>
        <v>0</v>
      </c>
      <c r="P23" s="89">
        <f t="shared" si="9"/>
        <v>0</v>
      </c>
      <c r="Q23" s="89">
        <f t="shared" si="9"/>
        <v>0</v>
      </c>
      <c r="R23" s="89">
        <f t="shared" si="9"/>
        <v>0</v>
      </c>
      <c r="S23" s="89">
        <f t="shared" si="9"/>
        <v>0</v>
      </c>
      <c r="T23" s="89">
        <f t="shared" si="9"/>
        <v>0</v>
      </c>
      <c r="U23" s="89">
        <f t="shared" si="9"/>
        <v>0</v>
      </c>
      <c r="V23" s="89">
        <f t="shared" si="9"/>
        <v>0</v>
      </c>
      <c r="W23" s="89">
        <f t="shared" si="9"/>
        <v>0</v>
      </c>
      <c r="X23" s="89">
        <f t="shared" si="10"/>
        <v>0</v>
      </c>
      <c r="Y23" s="89">
        <f t="shared" si="10"/>
        <v>0</v>
      </c>
      <c r="Z23" s="89">
        <f t="shared" si="10"/>
        <v>0</v>
      </c>
      <c r="AA23" s="89">
        <f t="shared" si="10"/>
        <v>0</v>
      </c>
      <c r="AB23" s="89">
        <f t="shared" si="10"/>
        <v>0</v>
      </c>
      <c r="AC23" s="89">
        <f t="shared" si="10"/>
        <v>22.916666666666668</v>
      </c>
      <c r="AD23" s="89">
        <f t="shared" si="10"/>
        <v>22.916666666666668</v>
      </c>
      <c r="AE23" s="89">
        <f t="shared" si="10"/>
        <v>22.916666666666668</v>
      </c>
      <c r="AF23" s="89">
        <f t="shared" si="10"/>
        <v>22.916666666666668</v>
      </c>
      <c r="AG23" s="89">
        <f t="shared" si="10"/>
        <v>22.916666666666668</v>
      </c>
      <c r="AH23" s="89">
        <f t="shared" si="11"/>
        <v>22.916666666666668</v>
      </c>
      <c r="AI23" s="89">
        <f t="shared" si="11"/>
        <v>22.916666666666668</v>
      </c>
      <c r="AJ23" s="89">
        <f t="shared" si="11"/>
        <v>22.916666666666668</v>
      </c>
      <c r="AK23" s="89">
        <f t="shared" si="11"/>
        <v>22.916666666666668</v>
      </c>
      <c r="AL23" s="89">
        <f t="shared" si="11"/>
        <v>22.916666666666668</v>
      </c>
      <c r="AM23" s="89">
        <f t="shared" si="11"/>
        <v>22.916666666666668</v>
      </c>
      <c r="AN23" s="89">
        <f t="shared" si="11"/>
        <v>22.916666666666668</v>
      </c>
      <c r="AO23" s="89">
        <f t="shared" si="11"/>
        <v>58.333333333333336</v>
      </c>
      <c r="AP23" s="89">
        <f t="shared" si="11"/>
        <v>58.333333333333336</v>
      </c>
      <c r="AQ23" s="89">
        <f t="shared" si="11"/>
        <v>58.333333333333336</v>
      </c>
      <c r="AR23" s="89">
        <f t="shared" si="12"/>
        <v>58.333333333333336</v>
      </c>
      <c r="AS23" s="89">
        <f t="shared" si="12"/>
        <v>58.333333333333336</v>
      </c>
      <c r="AT23" s="89">
        <f t="shared" si="12"/>
        <v>58.333333333333336</v>
      </c>
      <c r="AU23" s="89">
        <f t="shared" si="12"/>
        <v>58.333333333333336</v>
      </c>
      <c r="AV23" s="89">
        <f t="shared" si="12"/>
        <v>58.333333333333336</v>
      </c>
      <c r="AW23" s="89">
        <f t="shared" si="12"/>
        <v>58.333333333333336</v>
      </c>
      <c r="AX23" s="89">
        <f t="shared" si="12"/>
        <v>58.333333333333336</v>
      </c>
      <c r="AY23" s="89">
        <f t="shared" si="12"/>
        <v>58.333333333333336</v>
      </c>
      <c r="AZ23" s="89">
        <f t="shared" si="12"/>
        <v>58.333333333333336</v>
      </c>
      <c r="BA23" s="89">
        <f t="shared" si="12"/>
        <v>125</v>
      </c>
      <c r="BB23" s="89">
        <f t="shared" si="13"/>
        <v>125</v>
      </c>
      <c r="BC23" s="89">
        <f t="shared" si="13"/>
        <v>125</v>
      </c>
      <c r="BD23" s="89">
        <f t="shared" si="13"/>
        <v>125</v>
      </c>
      <c r="BE23" s="89">
        <f t="shared" si="13"/>
        <v>125</v>
      </c>
      <c r="BF23" s="89">
        <f t="shared" si="13"/>
        <v>125</v>
      </c>
      <c r="BG23" s="89">
        <f t="shared" si="13"/>
        <v>125</v>
      </c>
      <c r="BH23" s="89">
        <f t="shared" si="13"/>
        <v>125</v>
      </c>
      <c r="BI23" s="89">
        <f t="shared" si="13"/>
        <v>125</v>
      </c>
      <c r="BJ23" s="89">
        <f t="shared" si="13"/>
        <v>125</v>
      </c>
      <c r="BK23" s="89">
        <f t="shared" si="13"/>
        <v>125</v>
      </c>
      <c r="BL23" s="89">
        <f t="shared" si="14"/>
        <v>125</v>
      </c>
      <c r="BM23" s="89">
        <f t="shared" si="14"/>
        <v>0</v>
      </c>
      <c r="BN23" s="89">
        <f t="shared" si="14"/>
        <v>0</v>
      </c>
      <c r="BO23" s="89">
        <f t="shared" si="14"/>
        <v>0</v>
      </c>
      <c r="BP23" s="89">
        <f t="shared" si="14"/>
        <v>0</v>
      </c>
      <c r="BQ23" s="89">
        <f t="shared" si="14"/>
        <v>0</v>
      </c>
      <c r="BR23" s="89">
        <f t="shared" si="14"/>
        <v>0</v>
      </c>
      <c r="BS23" s="89">
        <f t="shared" si="14"/>
        <v>0</v>
      </c>
      <c r="BT23" s="89">
        <f t="shared" si="14"/>
        <v>0</v>
      </c>
      <c r="BU23" s="89">
        <f t="shared" si="14"/>
        <v>0</v>
      </c>
      <c r="BV23" s="89">
        <f t="shared" si="14"/>
        <v>0</v>
      </c>
    </row>
    <row r="24" spans="2:74" ht="18.75" customHeight="1">
      <c r="B24" s="84" t="s">
        <v>199</v>
      </c>
      <c r="C24" s="85" t="s">
        <v>88</v>
      </c>
      <c r="D24" s="85" t="s">
        <v>161</v>
      </c>
      <c r="E24" s="85" t="s">
        <v>18</v>
      </c>
      <c r="F24" s="84" t="s">
        <v>322</v>
      </c>
      <c r="G24" s="86">
        <v>46054</v>
      </c>
      <c r="H24" s="87">
        <v>200</v>
      </c>
      <c r="I24" s="87">
        <v>400</v>
      </c>
      <c r="J24" s="87">
        <v>600</v>
      </c>
      <c r="K24" s="88">
        <f t="shared" si="0"/>
        <v>0</v>
      </c>
      <c r="L24" s="88">
        <f t="shared" si="1"/>
        <v>100.00000000000001</v>
      </c>
      <c r="M24" s="88">
        <f t="shared" si="2"/>
        <v>300</v>
      </c>
      <c r="N24" s="89">
        <f t="shared" si="9"/>
        <v>0</v>
      </c>
      <c r="O24" s="89">
        <f t="shared" si="9"/>
        <v>0</v>
      </c>
      <c r="P24" s="89">
        <f t="shared" si="9"/>
        <v>0</v>
      </c>
      <c r="Q24" s="89">
        <f t="shared" si="9"/>
        <v>0</v>
      </c>
      <c r="R24" s="89">
        <f t="shared" si="9"/>
        <v>0</v>
      </c>
      <c r="S24" s="89">
        <f t="shared" si="9"/>
        <v>0</v>
      </c>
      <c r="T24" s="89">
        <f t="shared" si="9"/>
        <v>0</v>
      </c>
      <c r="U24" s="89">
        <f t="shared" si="9"/>
        <v>0</v>
      </c>
      <c r="V24" s="89">
        <f t="shared" si="9"/>
        <v>0</v>
      </c>
      <c r="W24" s="89">
        <f t="shared" si="9"/>
        <v>0</v>
      </c>
      <c r="X24" s="89">
        <f t="shared" si="10"/>
        <v>0</v>
      </c>
      <c r="Y24" s="89">
        <f t="shared" si="10"/>
        <v>0</v>
      </c>
      <c r="Z24" s="89">
        <f t="shared" si="10"/>
        <v>0</v>
      </c>
      <c r="AA24" s="89">
        <f t="shared" si="10"/>
        <v>0</v>
      </c>
      <c r="AB24" s="89">
        <f t="shared" si="10"/>
        <v>0</v>
      </c>
      <c r="AC24" s="89">
        <f t="shared" si="10"/>
        <v>0</v>
      </c>
      <c r="AD24" s="89">
        <f t="shared" si="10"/>
        <v>0</v>
      </c>
      <c r="AE24" s="89">
        <f t="shared" si="10"/>
        <v>0</v>
      </c>
      <c r="AF24" s="89">
        <f t="shared" si="10"/>
        <v>0</v>
      </c>
      <c r="AG24" s="89">
        <f t="shared" si="10"/>
        <v>16.666666666666668</v>
      </c>
      <c r="AH24" s="89">
        <f t="shared" si="11"/>
        <v>16.666666666666668</v>
      </c>
      <c r="AI24" s="89">
        <f t="shared" si="11"/>
        <v>16.666666666666668</v>
      </c>
      <c r="AJ24" s="89">
        <f t="shared" si="11"/>
        <v>16.666666666666668</v>
      </c>
      <c r="AK24" s="89">
        <f t="shared" si="11"/>
        <v>16.666666666666668</v>
      </c>
      <c r="AL24" s="89">
        <f t="shared" si="11"/>
        <v>16.666666666666668</v>
      </c>
      <c r="AM24" s="89">
        <f t="shared" si="11"/>
        <v>16.666666666666668</v>
      </c>
      <c r="AN24" s="89">
        <f t="shared" si="11"/>
        <v>16.666666666666668</v>
      </c>
      <c r="AO24" s="89">
        <f t="shared" si="11"/>
        <v>16.666666666666668</v>
      </c>
      <c r="AP24" s="89">
        <f t="shared" si="11"/>
        <v>16.666666666666668</v>
      </c>
      <c r="AQ24" s="89">
        <f t="shared" si="11"/>
        <v>16.666666666666668</v>
      </c>
      <c r="AR24" s="89">
        <f t="shared" si="12"/>
        <v>16.666666666666668</v>
      </c>
      <c r="AS24" s="89">
        <f t="shared" si="12"/>
        <v>33.333333333333336</v>
      </c>
      <c r="AT24" s="89">
        <f t="shared" si="12"/>
        <v>33.333333333333336</v>
      </c>
      <c r="AU24" s="89">
        <f t="shared" si="12"/>
        <v>33.333333333333336</v>
      </c>
      <c r="AV24" s="89">
        <f t="shared" si="12"/>
        <v>33.333333333333336</v>
      </c>
      <c r="AW24" s="89">
        <f t="shared" si="12"/>
        <v>33.333333333333336</v>
      </c>
      <c r="AX24" s="89">
        <f t="shared" si="12"/>
        <v>33.333333333333336</v>
      </c>
      <c r="AY24" s="89">
        <f t="shared" si="12"/>
        <v>33.333333333333336</v>
      </c>
      <c r="AZ24" s="89">
        <f t="shared" si="12"/>
        <v>33.333333333333336</v>
      </c>
      <c r="BA24" s="89">
        <f t="shared" si="12"/>
        <v>33.333333333333336</v>
      </c>
      <c r="BB24" s="89">
        <f t="shared" si="13"/>
        <v>33.333333333333336</v>
      </c>
      <c r="BC24" s="89">
        <f t="shared" si="13"/>
        <v>33.333333333333336</v>
      </c>
      <c r="BD24" s="89">
        <f t="shared" si="13"/>
        <v>33.333333333333336</v>
      </c>
      <c r="BE24" s="89">
        <f t="shared" si="13"/>
        <v>50</v>
      </c>
      <c r="BF24" s="89">
        <f t="shared" si="13"/>
        <v>50</v>
      </c>
      <c r="BG24" s="89">
        <f t="shared" si="13"/>
        <v>50</v>
      </c>
      <c r="BH24" s="89">
        <f t="shared" si="13"/>
        <v>50</v>
      </c>
      <c r="BI24" s="89">
        <f t="shared" si="13"/>
        <v>50</v>
      </c>
      <c r="BJ24" s="89">
        <f t="shared" si="13"/>
        <v>50</v>
      </c>
      <c r="BK24" s="89">
        <f t="shared" si="13"/>
        <v>50</v>
      </c>
      <c r="BL24" s="89">
        <f t="shared" si="14"/>
        <v>50</v>
      </c>
      <c r="BM24" s="89">
        <f t="shared" si="14"/>
        <v>50</v>
      </c>
      <c r="BN24" s="89">
        <f t="shared" si="14"/>
        <v>50</v>
      </c>
      <c r="BO24" s="89">
        <f t="shared" si="14"/>
        <v>50</v>
      </c>
      <c r="BP24" s="89">
        <f t="shared" si="14"/>
        <v>50</v>
      </c>
      <c r="BQ24" s="89">
        <f t="shared" si="14"/>
        <v>0</v>
      </c>
      <c r="BR24" s="89">
        <f t="shared" si="14"/>
        <v>0</v>
      </c>
      <c r="BS24" s="89">
        <f t="shared" si="14"/>
        <v>0</v>
      </c>
      <c r="BT24" s="89">
        <f t="shared" si="14"/>
        <v>0</v>
      </c>
      <c r="BU24" s="89">
        <f t="shared" si="14"/>
        <v>0</v>
      </c>
      <c r="BV24" s="89">
        <f t="shared" si="14"/>
        <v>0</v>
      </c>
    </row>
    <row r="25" spans="2:74" ht="18.75" customHeight="1">
      <c r="B25" s="84" t="s">
        <v>202</v>
      </c>
      <c r="C25" s="85" t="s">
        <v>88</v>
      </c>
      <c r="D25" s="85" t="s">
        <v>161</v>
      </c>
      <c r="E25" s="85" t="s">
        <v>18</v>
      </c>
      <c r="F25" s="84" t="s">
        <v>322</v>
      </c>
      <c r="G25" s="86">
        <v>46113</v>
      </c>
      <c r="H25" s="87">
        <v>200</v>
      </c>
      <c r="I25" s="87">
        <v>400</v>
      </c>
      <c r="J25" s="87">
        <v>600</v>
      </c>
      <c r="K25" s="88">
        <f t="shared" si="0"/>
        <v>0</v>
      </c>
      <c r="L25" s="88">
        <f t="shared" si="1"/>
        <v>66.666666666666671</v>
      </c>
      <c r="M25" s="88">
        <f t="shared" si="2"/>
        <v>266.66666666666669</v>
      </c>
      <c r="N25" s="89">
        <f t="shared" ref="N25:W35" si="15">IF($F25="FY表記",IF(OR(YEAR(N$4)+IF(MONTH(N$4)&gt;=8,1,0)-2025&lt;1,YEAR(N$4)+IF(MONTH(N$4)&gt;=8,1,0)-2025&gt;3),0,INDEX($H25:$J25,YEAR(N$4)+IF(MONTH(N$4)&gt;=8,1,0)-2025)/12),IF($F25="FY表記(在籍月割)",IF(OR(YEAR(N$4)+IF(MONTH(N$4)&gt;=8,1,0)-2025&lt;1,YEAR(N$4)+IF(MONTH(N$4)&gt;=8,1,0)-2025&gt;3,(YEAR(N$4)-YEAR($G25))*12+MONTH(N$4)-MONTH($G25)&lt;0),0,INDEX($H25:$J25,YEAR(N$4)+IF(MONTH(N$4)&gt;=8,1,0)-2025)/(12-MAX(0,(YEAR($G25)-2024-(YEAR(N$4)+IF(MONTH(N$4)&gt;=8,1,0)-2025))*12+MONTH($G25)-8))),IF(OR((YEAR(N$4)-YEAR($G25))*12+MONTH(N$4)-MONTH($G25)&lt;0,(YEAR(N$4)-YEAR($G25))*12+MONTH(N$4)-MONTH($G25)&gt;=36),0,INDEX($H25:$J25,INT(((YEAR(N$4)-YEAR($G25))*12+MONTH(N$4)-MONTH($G25))/12)+1)/12)))</f>
        <v>0</v>
      </c>
      <c r="O25" s="89">
        <f t="shared" si="15"/>
        <v>0</v>
      </c>
      <c r="P25" s="89">
        <f t="shared" si="15"/>
        <v>0</v>
      </c>
      <c r="Q25" s="89">
        <f t="shared" si="15"/>
        <v>0</v>
      </c>
      <c r="R25" s="89">
        <f t="shared" si="15"/>
        <v>0</v>
      </c>
      <c r="S25" s="89">
        <f t="shared" si="15"/>
        <v>0</v>
      </c>
      <c r="T25" s="89">
        <f t="shared" si="15"/>
        <v>0</v>
      </c>
      <c r="U25" s="89">
        <f t="shared" si="15"/>
        <v>0</v>
      </c>
      <c r="V25" s="89">
        <f t="shared" si="15"/>
        <v>0</v>
      </c>
      <c r="W25" s="89">
        <f t="shared" si="15"/>
        <v>0</v>
      </c>
      <c r="X25" s="89">
        <f t="shared" ref="X25:AG35" si="16">IF($F25="FY表記",IF(OR(YEAR(X$4)+IF(MONTH(X$4)&gt;=8,1,0)-2025&lt;1,YEAR(X$4)+IF(MONTH(X$4)&gt;=8,1,0)-2025&gt;3),0,INDEX($H25:$J25,YEAR(X$4)+IF(MONTH(X$4)&gt;=8,1,0)-2025)/12),IF($F25="FY表記(在籍月割)",IF(OR(YEAR(X$4)+IF(MONTH(X$4)&gt;=8,1,0)-2025&lt;1,YEAR(X$4)+IF(MONTH(X$4)&gt;=8,1,0)-2025&gt;3,(YEAR(X$4)-YEAR($G25))*12+MONTH(X$4)-MONTH($G25)&lt;0),0,INDEX($H25:$J25,YEAR(X$4)+IF(MONTH(X$4)&gt;=8,1,0)-2025)/(12-MAX(0,(YEAR($G25)-2024-(YEAR(X$4)+IF(MONTH(X$4)&gt;=8,1,0)-2025))*12+MONTH($G25)-8))),IF(OR((YEAR(X$4)-YEAR($G25))*12+MONTH(X$4)-MONTH($G25)&lt;0,(YEAR(X$4)-YEAR($G25))*12+MONTH(X$4)-MONTH($G25)&gt;=36),0,INDEX($H25:$J25,INT(((YEAR(X$4)-YEAR($G25))*12+MONTH(X$4)-MONTH($G25))/12)+1)/12)))</f>
        <v>0</v>
      </c>
      <c r="Y25" s="89">
        <f t="shared" si="16"/>
        <v>0</v>
      </c>
      <c r="Z25" s="89">
        <f t="shared" si="16"/>
        <v>0</v>
      </c>
      <c r="AA25" s="89">
        <f t="shared" si="16"/>
        <v>0</v>
      </c>
      <c r="AB25" s="89">
        <f t="shared" si="16"/>
        <v>0</v>
      </c>
      <c r="AC25" s="89">
        <f t="shared" si="16"/>
        <v>0</v>
      </c>
      <c r="AD25" s="89">
        <f t="shared" si="16"/>
        <v>0</v>
      </c>
      <c r="AE25" s="89">
        <f t="shared" si="16"/>
        <v>0</v>
      </c>
      <c r="AF25" s="89">
        <f t="shared" si="16"/>
        <v>0</v>
      </c>
      <c r="AG25" s="89">
        <f t="shared" si="16"/>
        <v>0</v>
      </c>
      <c r="AH25" s="89">
        <f t="shared" ref="AH25:AQ35" si="17">IF($F25="FY表記",IF(OR(YEAR(AH$4)+IF(MONTH(AH$4)&gt;=8,1,0)-2025&lt;1,YEAR(AH$4)+IF(MONTH(AH$4)&gt;=8,1,0)-2025&gt;3),0,INDEX($H25:$J25,YEAR(AH$4)+IF(MONTH(AH$4)&gt;=8,1,0)-2025)/12),IF($F25="FY表記(在籍月割)",IF(OR(YEAR(AH$4)+IF(MONTH(AH$4)&gt;=8,1,0)-2025&lt;1,YEAR(AH$4)+IF(MONTH(AH$4)&gt;=8,1,0)-2025&gt;3,(YEAR(AH$4)-YEAR($G25))*12+MONTH(AH$4)-MONTH($G25)&lt;0),0,INDEX($H25:$J25,YEAR(AH$4)+IF(MONTH(AH$4)&gt;=8,1,0)-2025)/(12-MAX(0,(YEAR($G25)-2024-(YEAR(AH$4)+IF(MONTH(AH$4)&gt;=8,1,0)-2025))*12+MONTH($G25)-8))),IF(OR((YEAR(AH$4)-YEAR($G25))*12+MONTH(AH$4)-MONTH($G25)&lt;0,(YEAR(AH$4)-YEAR($G25))*12+MONTH(AH$4)-MONTH($G25)&gt;=36),0,INDEX($H25:$J25,INT(((YEAR(AH$4)-YEAR($G25))*12+MONTH(AH$4)-MONTH($G25))/12)+1)/12)))</f>
        <v>0</v>
      </c>
      <c r="AI25" s="89">
        <f t="shared" si="17"/>
        <v>16.666666666666668</v>
      </c>
      <c r="AJ25" s="89">
        <f t="shared" si="17"/>
        <v>16.666666666666668</v>
      </c>
      <c r="AK25" s="89">
        <f t="shared" si="17"/>
        <v>16.666666666666668</v>
      </c>
      <c r="AL25" s="89">
        <f t="shared" si="17"/>
        <v>16.666666666666668</v>
      </c>
      <c r="AM25" s="89">
        <f t="shared" si="17"/>
        <v>16.666666666666668</v>
      </c>
      <c r="AN25" s="89">
        <f t="shared" si="17"/>
        <v>16.666666666666668</v>
      </c>
      <c r="AO25" s="89">
        <f t="shared" si="17"/>
        <v>16.666666666666668</v>
      </c>
      <c r="AP25" s="89">
        <f t="shared" si="17"/>
        <v>16.666666666666668</v>
      </c>
      <c r="AQ25" s="89">
        <f t="shared" si="17"/>
        <v>16.666666666666668</v>
      </c>
      <c r="AR25" s="89">
        <f t="shared" ref="AR25:BA35" si="18">IF($F25="FY表記",IF(OR(YEAR(AR$4)+IF(MONTH(AR$4)&gt;=8,1,0)-2025&lt;1,YEAR(AR$4)+IF(MONTH(AR$4)&gt;=8,1,0)-2025&gt;3),0,INDEX($H25:$J25,YEAR(AR$4)+IF(MONTH(AR$4)&gt;=8,1,0)-2025)/12),IF($F25="FY表記(在籍月割)",IF(OR(YEAR(AR$4)+IF(MONTH(AR$4)&gt;=8,1,0)-2025&lt;1,YEAR(AR$4)+IF(MONTH(AR$4)&gt;=8,1,0)-2025&gt;3,(YEAR(AR$4)-YEAR($G25))*12+MONTH(AR$4)-MONTH($G25)&lt;0),0,INDEX($H25:$J25,YEAR(AR$4)+IF(MONTH(AR$4)&gt;=8,1,0)-2025)/(12-MAX(0,(YEAR($G25)-2024-(YEAR(AR$4)+IF(MONTH(AR$4)&gt;=8,1,0)-2025))*12+MONTH($G25)-8))),IF(OR((YEAR(AR$4)-YEAR($G25))*12+MONTH(AR$4)-MONTH($G25)&lt;0,(YEAR(AR$4)-YEAR($G25))*12+MONTH(AR$4)-MONTH($G25)&gt;=36),0,INDEX($H25:$J25,INT(((YEAR(AR$4)-YEAR($G25))*12+MONTH(AR$4)-MONTH($G25))/12)+1)/12)))</f>
        <v>16.666666666666668</v>
      </c>
      <c r="AS25" s="89">
        <f t="shared" si="18"/>
        <v>16.666666666666668</v>
      </c>
      <c r="AT25" s="89">
        <f t="shared" si="18"/>
        <v>16.666666666666668</v>
      </c>
      <c r="AU25" s="89">
        <f t="shared" si="18"/>
        <v>33.333333333333336</v>
      </c>
      <c r="AV25" s="89">
        <f t="shared" si="18"/>
        <v>33.333333333333336</v>
      </c>
      <c r="AW25" s="89">
        <f t="shared" si="18"/>
        <v>33.333333333333336</v>
      </c>
      <c r="AX25" s="89">
        <f t="shared" si="18"/>
        <v>33.333333333333336</v>
      </c>
      <c r="AY25" s="89">
        <f t="shared" si="18"/>
        <v>33.333333333333336</v>
      </c>
      <c r="AZ25" s="89">
        <f t="shared" si="18"/>
        <v>33.333333333333336</v>
      </c>
      <c r="BA25" s="89">
        <f t="shared" si="18"/>
        <v>33.333333333333336</v>
      </c>
      <c r="BB25" s="89">
        <f t="shared" ref="BB25:BK35" si="19">IF($F25="FY表記",IF(OR(YEAR(BB$4)+IF(MONTH(BB$4)&gt;=8,1,0)-2025&lt;1,YEAR(BB$4)+IF(MONTH(BB$4)&gt;=8,1,0)-2025&gt;3),0,INDEX($H25:$J25,YEAR(BB$4)+IF(MONTH(BB$4)&gt;=8,1,0)-2025)/12),IF($F25="FY表記(在籍月割)",IF(OR(YEAR(BB$4)+IF(MONTH(BB$4)&gt;=8,1,0)-2025&lt;1,YEAR(BB$4)+IF(MONTH(BB$4)&gt;=8,1,0)-2025&gt;3,(YEAR(BB$4)-YEAR($G25))*12+MONTH(BB$4)-MONTH($G25)&lt;0),0,INDEX($H25:$J25,YEAR(BB$4)+IF(MONTH(BB$4)&gt;=8,1,0)-2025)/(12-MAX(0,(YEAR($G25)-2024-(YEAR(BB$4)+IF(MONTH(BB$4)&gt;=8,1,0)-2025))*12+MONTH($G25)-8))),IF(OR((YEAR(BB$4)-YEAR($G25))*12+MONTH(BB$4)-MONTH($G25)&lt;0,(YEAR(BB$4)-YEAR($G25))*12+MONTH(BB$4)-MONTH($G25)&gt;=36),0,INDEX($H25:$J25,INT(((YEAR(BB$4)-YEAR($G25))*12+MONTH(BB$4)-MONTH($G25))/12)+1)/12)))</f>
        <v>33.333333333333336</v>
      </c>
      <c r="BC25" s="89">
        <f t="shared" si="19"/>
        <v>33.333333333333336</v>
      </c>
      <c r="BD25" s="89">
        <f t="shared" si="19"/>
        <v>33.333333333333336</v>
      </c>
      <c r="BE25" s="89">
        <f t="shared" si="19"/>
        <v>33.333333333333336</v>
      </c>
      <c r="BF25" s="89">
        <f t="shared" si="19"/>
        <v>33.333333333333336</v>
      </c>
      <c r="BG25" s="89">
        <f t="shared" si="19"/>
        <v>50</v>
      </c>
      <c r="BH25" s="89">
        <f t="shared" si="19"/>
        <v>50</v>
      </c>
      <c r="BI25" s="89">
        <f t="shared" si="19"/>
        <v>50</v>
      </c>
      <c r="BJ25" s="89">
        <f t="shared" si="19"/>
        <v>50</v>
      </c>
      <c r="BK25" s="89">
        <f t="shared" si="19"/>
        <v>50</v>
      </c>
      <c r="BL25" s="89">
        <f t="shared" ref="BL25:BV35" si="20">IF($F25="FY表記",IF(OR(YEAR(BL$4)+IF(MONTH(BL$4)&gt;=8,1,0)-2025&lt;1,YEAR(BL$4)+IF(MONTH(BL$4)&gt;=8,1,0)-2025&gt;3),0,INDEX($H25:$J25,YEAR(BL$4)+IF(MONTH(BL$4)&gt;=8,1,0)-2025)/12),IF($F25="FY表記(在籍月割)",IF(OR(YEAR(BL$4)+IF(MONTH(BL$4)&gt;=8,1,0)-2025&lt;1,YEAR(BL$4)+IF(MONTH(BL$4)&gt;=8,1,0)-2025&gt;3,(YEAR(BL$4)-YEAR($G25))*12+MONTH(BL$4)-MONTH($G25)&lt;0),0,INDEX($H25:$J25,YEAR(BL$4)+IF(MONTH(BL$4)&gt;=8,1,0)-2025)/(12-MAX(0,(YEAR($G25)-2024-(YEAR(BL$4)+IF(MONTH(BL$4)&gt;=8,1,0)-2025))*12+MONTH($G25)-8))),IF(OR((YEAR(BL$4)-YEAR($G25))*12+MONTH(BL$4)-MONTH($G25)&lt;0,(YEAR(BL$4)-YEAR($G25))*12+MONTH(BL$4)-MONTH($G25)&gt;=36),0,INDEX($H25:$J25,INT(((YEAR(BL$4)-YEAR($G25))*12+MONTH(BL$4)-MONTH($G25))/12)+1)/12)))</f>
        <v>50</v>
      </c>
      <c r="BM25" s="89">
        <f t="shared" si="20"/>
        <v>50</v>
      </c>
      <c r="BN25" s="89">
        <f t="shared" si="20"/>
        <v>50</v>
      </c>
      <c r="BO25" s="89">
        <f t="shared" si="20"/>
        <v>50</v>
      </c>
      <c r="BP25" s="89">
        <f t="shared" si="20"/>
        <v>50</v>
      </c>
      <c r="BQ25" s="89">
        <f t="shared" si="20"/>
        <v>50</v>
      </c>
      <c r="BR25" s="89">
        <f t="shared" si="20"/>
        <v>50</v>
      </c>
      <c r="BS25" s="89">
        <f t="shared" si="20"/>
        <v>0</v>
      </c>
      <c r="BT25" s="89">
        <f t="shared" si="20"/>
        <v>0</v>
      </c>
      <c r="BU25" s="89">
        <f t="shared" si="20"/>
        <v>0</v>
      </c>
      <c r="BV25" s="89">
        <f t="shared" si="20"/>
        <v>0</v>
      </c>
    </row>
    <row r="26" spans="2:74" ht="18.75" customHeight="1">
      <c r="B26" s="84" t="s">
        <v>74</v>
      </c>
      <c r="C26" s="85" t="s">
        <v>51</v>
      </c>
      <c r="D26" s="85" t="s">
        <v>68</v>
      </c>
      <c r="E26" s="84" t="s">
        <v>17</v>
      </c>
      <c r="F26" s="84" t="s">
        <v>322</v>
      </c>
      <c r="G26" s="86">
        <v>45870</v>
      </c>
      <c r="H26" s="87">
        <v>500</v>
      </c>
      <c r="I26" s="87">
        <v>1300</v>
      </c>
      <c r="J26" s="87">
        <v>2500</v>
      </c>
      <c r="K26" s="88">
        <f t="shared" si="0"/>
        <v>0</v>
      </c>
      <c r="L26" s="88">
        <f t="shared" si="1"/>
        <v>500.00000000000006</v>
      </c>
      <c r="M26" s="88">
        <f t="shared" si="2"/>
        <v>1300</v>
      </c>
      <c r="N26" s="89">
        <f t="shared" si="15"/>
        <v>0</v>
      </c>
      <c r="O26" s="89">
        <f t="shared" si="15"/>
        <v>0</v>
      </c>
      <c r="P26" s="89">
        <f t="shared" si="15"/>
        <v>0</v>
      </c>
      <c r="Q26" s="89">
        <f t="shared" si="15"/>
        <v>0</v>
      </c>
      <c r="R26" s="89">
        <f t="shared" si="15"/>
        <v>0</v>
      </c>
      <c r="S26" s="89">
        <f t="shared" si="15"/>
        <v>0</v>
      </c>
      <c r="T26" s="89">
        <f t="shared" si="15"/>
        <v>0</v>
      </c>
      <c r="U26" s="89">
        <f t="shared" si="15"/>
        <v>0</v>
      </c>
      <c r="V26" s="89">
        <f t="shared" si="15"/>
        <v>0</v>
      </c>
      <c r="W26" s="89">
        <f t="shared" si="15"/>
        <v>0</v>
      </c>
      <c r="X26" s="89">
        <f t="shared" si="16"/>
        <v>0</v>
      </c>
      <c r="Y26" s="89">
        <f t="shared" si="16"/>
        <v>0</v>
      </c>
      <c r="Z26" s="89">
        <f t="shared" si="16"/>
        <v>0</v>
      </c>
      <c r="AA26" s="89">
        <f t="shared" si="16"/>
        <v>41.666666666666664</v>
      </c>
      <c r="AB26" s="89">
        <f t="shared" si="16"/>
        <v>41.666666666666664</v>
      </c>
      <c r="AC26" s="89">
        <f t="shared" si="16"/>
        <v>41.666666666666664</v>
      </c>
      <c r="AD26" s="89">
        <f t="shared" si="16"/>
        <v>41.666666666666664</v>
      </c>
      <c r="AE26" s="89">
        <f t="shared" si="16"/>
        <v>41.666666666666664</v>
      </c>
      <c r="AF26" s="89">
        <f t="shared" si="16"/>
        <v>41.666666666666664</v>
      </c>
      <c r="AG26" s="89">
        <f t="shared" si="16"/>
        <v>41.666666666666664</v>
      </c>
      <c r="AH26" s="89">
        <f t="shared" si="17"/>
        <v>41.666666666666664</v>
      </c>
      <c r="AI26" s="89">
        <f t="shared" si="17"/>
        <v>41.666666666666664</v>
      </c>
      <c r="AJ26" s="89">
        <f t="shared" si="17"/>
        <v>41.666666666666664</v>
      </c>
      <c r="AK26" s="89">
        <f t="shared" si="17"/>
        <v>41.666666666666664</v>
      </c>
      <c r="AL26" s="89">
        <f t="shared" si="17"/>
        <v>41.666666666666664</v>
      </c>
      <c r="AM26" s="89">
        <f t="shared" si="17"/>
        <v>108.33333333333333</v>
      </c>
      <c r="AN26" s="89">
        <f t="shared" si="17"/>
        <v>108.33333333333333</v>
      </c>
      <c r="AO26" s="89">
        <f t="shared" si="17"/>
        <v>108.33333333333333</v>
      </c>
      <c r="AP26" s="89">
        <f t="shared" si="17"/>
        <v>108.33333333333333</v>
      </c>
      <c r="AQ26" s="89">
        <f t="shared" si="17"/>
        <v>108.33333333333333</v>
      </c>
      <c r="AR26" s="89">
        <f t="shared" si="18"/>
        <v>108.33333333333333</v>
      </c>
      <c r="AS26" s="89">
        <f t="shared" si="18"/>
        <v>108.33333333333333</v>
      </c>
      <c r="AT26" s="89">
        <f t="shared" si="18"/>
        <v>108.33333333333333</v>
      </c>
      <c r="AU26" s="89">
        <f t="shared" si="18"/>
        <v>108.33333333333333</v>
      </c>
      <c r="AV26" s="89">
        <f t="shared" si="18"/>
        <v>108.33333333333333</v>
      </c>
      <c r="AW26" s="89">
        <f t="shared" si="18"/>
        <v>108.33333333333333</v>
      </c>
      <c r="AX26" s="89">
        <f t="shared" si="18"/>
        <v>108.33333333333333</v>
      </c>
      <c r="AY26" s="89">
        <f t="shared" si="18"/>
        <v>208.33333333333334</v>
      </c>
      <c r="AZ26" s="89">
        <f t="shared" si="18"/>
        <v>208.33333333333334</v>
      </c>
      <c r="BA26" s="89">
        <f t="shared" si="18"/>
        <v>208.33333333333334</v>
      </c>
      <c r="BB26" s="89">
        <f t="shared" si="19"/>
        <v>208.33333333333334</v>
      </c>
      <c r="BC26" s="89">
        <f t="shared" si="19"/>
        <v>208.33333333333334</v>
      </c>
      <c r="BD26" s="89">
        <f t="shared" si="19"/>
        <v>208.33333333333334</v>
      </c>
      <c r="BE26" s="89">
        <f t="shared" si="19"/>
        <v>208.33333333333334</v>
      </c>
      <c r="BF26" s="89">
        <f t="shared" si="19"/>
        <v>208.33333333333334</v>
      </c>
      <c r="BG26" s="89">
        <f t="shared" si="19"/>
        <v>208.33333333333334</v>
      </c>
      <c r="BH26" s="89">
        <f t="shared" si="19"/>
        <v>208.33333333333334</v>
      </c>
      <c r="BI26" s="89">
        <f t="shared" si="19"/>
        <v>208.33333333333334</v>
      </c>
      <c r="BJ26" s="89">
        <f t="shared" si="19"/>
        <v>208.33333333333334</v>
      </c>
      <c r="BK26" s="89">
        <f t="shared" si="19"/>
        <v>0</v>
      </c>
      <c r="BL26" s="89">
        <f t="shared" si="20"/>
        <v>0</v>
      </c>
      <c r="BM26" s="89">
        <f t="shared" si="20"/>
        <v>0</v>
      </c>
      <c r="BN26" s="89">
        <f t="shared" si="20"/>
        <v>0</v>
      </c>
      <c r="BO26" s="89">
        <f t="shared" si="20"/>
        <v>0</v>
      </c>
      <c r="BP26" s="89">
        <f t="shared" si="20"/>
        <v>0</v>
      </c>
      <c r="BQ26" s="89">
        <f t="shared" si="20"/>
        <v>0</v>
      </c>
      <c r="BR26" s="89">
        <f t="shared" si="20"/>
        <v>0</v>
      </c>
      <c r="BS26" s="89">
        <f t="shared" si="20"/>
        <v>0</v>
      </c>
      <c r="BT26" s="89">
        <f t="shared" si="20"/>
        <v>0</v>
      </c>
      <c r="BU26" s="89">
        <f t="shared" si="20"/>
        <v>0</v>
      </c>
      <c r="BV26" s="89">
        <f t="shared" si="20"/>
        <v>0</v>
      </c>
    </row>
    <row r="27" spans="2:74" ht="18.75" customHeight="1">
      <c r="B27" s="84" t="s">
        <v>74</v>
      </c>
      <c r="C27" s="85" t="s">
        <v>51</v>
      </c>
      <c r="D27" s="85" t="s">
        <v>68</v>
      </c>
      <c r="E27" s="85" t="s">
        <v>18</v>
      </c>
      <c r="F27" s="84" t="s">
        <v>322</v>
      </c>
      <c r="G27" s="86">
        <v>45870</v>
      </c>
      <c r="H27" s="87">
        <v>270</v>
      </c>
      <c r="I27" s="87">
        <v>650</v>
      </c>
      <c r="J27" s="87">
        <v>1400</v>
      </c>
      <c r="K27" s="88">
        <f t="shared" si="0"/>
        <v>0</v>
      </c>
      <c r="L27" s="88">
        <f t="shared" si="1"/>
        <v>270</v>
      </c>
      <c r="M27" s="88">
        <f t="shared" si="2"/>
        <v>650</v>
      </c>
      <c r="N27" s="89">
        <f t="shared" si="15"/>
        <v>0</v>
      </c>
      <c r="O27" s="89">
        <f t="shared" si="15"/>
        <v>0</v>
      </c>
      <c r="P27" s="89">
        <f t="shared" si="15"/>
        <v>0</v>
      </c>
      <c r="Q27" s="89">
        <f t="shared" si="15"/>
        <v>0</v>
      </c>
      <c r="R27" s="89">
        <f t="shared" si="15"/>
        <v>0</v>
      </c>
      <c r="S27" s="89">
        <f t="shared" si="15"/>
        <v>0</v>
      </c>
      <c r="T27" s="89">
        <f t="shared" si="15"/>
        <v>0</v>
      </c>
      <c r="U27" s="89">
        <f t="shared" si="15"/>
        <v>0</v>
      </c>
      <c r="V27" s="89">
        <f t="shared" si="15"/>
        <v>0</v>
      </c>
      <c r="W27" s="89">
        <f t="shared" si="15"/>
        <v>0</v>
      </c>
      <c r="X27" s="89">
        <f t="shared" si="16"/>
        <v>0</v>
      </c>
      <c r="Y27" s="89">
        <f t="shared" si="16"/>
        <v>0</v>
      </c>
      <c r="Z27" s="89">
        <f t="shared" si="16"/>
        <v>0</v>
      </c>
      <c r="AA27" s="89">
        <f t="shared" si="16"/>
        <v>22.5</v>
      </c>
      <c r="AB27" s="89">
        <f t="shared" si="16"/>
        <v>22.5</v>
      </c>
      <c r="AC27" s="89">
        <f t="shared" si="16"/>
        <v>22.5</v>
      </c>
      <c r="AD27" s="89">
        <f t="shared" si="16"/>
        <v>22.5</v>
      </c>
      <c r="AE27" s="89">
        <f t="shared" si="16"/>
        <v>22.5</v>
      </c>
      <c r="AF27" s="89">
        <f t="shared" si="16"/>
        <v>22.5</v>
      </c>
      <c r="AG27" s="89">
        <f t="shared" si="16"/>
        <v>22.5</v>
      </c>
      <c r="AH27" s="89">
        <f t="shared" si="17"/>
        <v>22.5</v>
      </c>
      <c r="AI27" s="89">
        <f t="shared" si="17"/>
        <v>22.5</v>
      </c>
      <c r="AJ27" s="89">
        <f t="shared" si="17"/>
        <v>22.5</v>
      </c>
      <c r="AK27" s="89">
        <f t="shared" si="17"/>
        <v>22.5</v>
      </c>
      <c r="AL27" s="89">
        <f t="shared" si="17"/>
        <v>22.5</v>
      </c>
      <c r="AM27" s="89">
        <f t="shared" si="17"/>
        <v>54.166666666666664</v>
      </c>
      <c r="AN27" s="89">
        <f t="shared" si="17"/>
        <v>54.166666666666664</v>
      </c>
      <c r="AO27" s="89">
        <f t="shared" si="17"/>
        <v>54.166666666666664</v>
      </c>
      <c r="AP27" s="89">
        <f t="shared" si="17"/>
        <v>54.166666666666664</v>
      </c>
      <c r="AQ27" s="89">
        <f t="shared" si="17"/>
        <v>54.166666666666664</v>
      </c>
      <c r="AR27" s="89">
        <f t="shared" si="18"/>
        <v>54.166666666666664</v>
      </c>
      <c r="AS27" s="89">
        <f t="shared" si="18"/>
        <v>54.166666666666664</v>
      </c>
      <c r="AT27" s="89">
        <f t="shared" si="18"/>
        <v>54.166666666666664</v>
      </c>
      <c r="AU27" s="89">
        <f t="shared" si="18"/>
        <v>54.166666666666664</v>
      </c>
      <c r="AV27" s="89">
        <f t="shared" si="18"/>
        <v>54.166666666666664</v>
      </c>
      <c r="AW27" s="89">
        <f t="shared" si="18"/>
        <v>54.166666666666664</v>
      </c>
      <c r="AX27" s="89">
        <f t="shared" si="18"/>
        <v>54.166666666666664</v>
      </c>
      <c r="AY27" s="89">
        <f t="shared" si="18"/>
        <v>116.66666666666667</v>
      </c>
      <c r="AZ27" s="89">
        <f t="shared" si="18"/>
        <v>116.66666666666667</v>
      </c>
      <c r="BA27" s="89">
        <f t="shared" si="18"/>
        <v>116.66666666666667</v>
      </c>
      <c r="BB27" s="89">
        <f t="shared" si="19"/>
        <v>116.66666666666667</v>
      </c>
      <c r="BC27" s="89">
        <f t="shared" si="19"/>
        <v>116.66666666666667</v>
      </c>
      <c r="BD27" s="89">
        <f t="shared" si="19"/>
        <v>116.66666666666667</v>
      </c>
      <c r="BE27" s="89">
        <f t="shared" si="19"/>
        <v>116.66666666666667</v>
      </c>
      <c r="BF27" s="89">
        <f t="shared" si="19"/>
        <v>116.66666666666667</v>
      </c>
      <c r="BG27" s="89">
        <f t="shared" si="19"/>
        <v>116.66666666666667</v>
      </c>
      <c r="BH27" s="89">
        <f t="shared" si="19"/>
        <v>116.66666666666667</v>
      </c>
      <c r="BI27" s="89">
        <f t="shared" si="19"/>
        <v>116.66666666666667</v>
      </c>
      <c r="BJ27" s="89">
        <f t="shared" si="19"/>
        <v>116.66666666666667</v>
      </c>
      <c r="BK27" s="89">
        <f t="shared" si="19"/>
        <v>0</v>
      </c>
      <c r="BL27" s="89">
        <f t="shared" si="20"/>
        <v>0</v>
      </c>
      <c r="BM27" s="89">
        <f t="shared" si="20"/>
        <v>0</v>
      </c>
      <c r="BN27" s="89">
        <f t="shared" si="20"/>
        <v>0</v>
      </c>
      <c r="BO27" s="89">
        <f t="shared" si="20"/>
        <v>0</v>
      </c>
      <c r="BP27" s="89">
        <f t="shared" si="20"/>
        <v>0</v>
      </c>
      <c r="BQ27" s="89">
        <f t="shared" si="20"/>
        <v>0</v>
      </c>
      <c r="BR27" s="89">
        <f t="shared" si="20"/>
        <v>0</v>
      </c>
      <c r="BS27" s="89">
        <f t="shared" si="20"/>
        <v>0</v>
      </c>
      <c r="BT27" s="89">
        <f t="shared" si="20"/>
        <v>0</v>
      </c>
      <c r="BU27" s="89">
        <f t="shared" si="20"/>
        <v>0</v>
      </c>
      <c r="BV27" s="89">
        <f t="shared" si="20"/>
        <v>0</v>
      </c>
    </row>
    <row r="28" spans="2:74" ht="18.75" customHeight="1">
      <c r="B28" s="84" t="s">
        <v>98</v>
      </c>
      <c r="C28" s="85" t="s">
        <v>51</v>
      </c>
      <c r="D28" s="85" t="s">
        <v>68</v>
      </c>
      <c r="E28" s="85" t="s">
        <v>18</v>
      </c>
      <c r="F28" s="85" t="s">
        <v>324</v>
      </c>
      <c r="G28" s="86">
        <v>46054</v>
      </c>
      <c r="H28" s="87">
        <v>353</v>
      </c>
      <c r="I28" s="87">
        <v>1291</v>
      </c>
      <c r="J28" s="87">
        <v>1528</v>
      </c>
      <c r="K28" s="88">
        <f t="shared" si="0"/>
        <v>0</v>
      </c>
      <c r="L28" s="88">
        <f t="shared" si="1"/>
        <v>353</v>
      </c>
      <c r="M28" s="88">
        <f t="shared" si="2"/>
        <v>1291</v>
      </c>
      <c r="N28" s="89">
        <f t="shared" si="15"/>
        <v>0</v>
      </c>
      <c r="O28" s="89">
        <f t="shared" si="15"/>
        <v>0</v>
      </c>
      <c r="P28" s="89">
        <f t="shared" si="15"/>
        <v>0</v>
      </c>
      <c r="Q28" s="89">
        <f t="shared" si="15"/>
        <v>0</v>
      </c>
      <c r="R28" s="89">
        <f t="shared" si="15"/>
        <v>0</v>
      </c>
      <c r="S28" s="89">
        <f t="shared" si="15"/>
        <v>0</v>
      </c>
      <c r="T28" s="89">
        <f t="shared" si="15"/>
        <v>0</v>
      </c>
      <c r="U28" s="89">
        <f t="shared" si="15"/>
        <v>0</v>
      </c>
      <c r="V28" s="89">
        <f t="shared" si="15"/>
        <v>0</v>
      </c>
      <c r="W28" s="89">
        <f t="shared" si="15"/>
        <v>0</v>
      </c>
      <c r="X28" s="89">
        <f t="shared" si="16"/>
        <v>0</v>
      </c>
      <c r="Y28" s="89">
        <f t="shared" si="16"/>
        <v>0</v>
      </c>
      <c r="Z28" s="89">
        <f t="shared" si="16"/>
        <v>0</v>
      </c>
      <c r="AA28" s="89">
        <f t="shared" si="16"/>
        <v>0</v>
      </c>
      <c r="AB28" s="89">
        <f t="shared" si="16"/>
        <v>0</v>
      </c>
      <c r="AC28" s="89">
        <f t="shared" si="16"/>
        <v>0</v>
      </c>
      <c r="AD28" s="89">
        <f t="shared" si="16"/>
        <v>0</v>
      </c>
      <c r="AE28" s="89">
        <f t="shared" si="16"/>
        <v>0</v>
      </c>
      <c r="AF28" s="89">
        <f t="shared" si="16"/>
        <v>0</v>
      </c>
      <c r="AG28" s="89">
        <f t="shared" si="16"/>
        <v>58.833333333333336</v>
      </c>
      <c r="AH28" s="89">
        <f t="shared" si="17"/>
        <v>58.833333333333336</v>
      </c>
      <c r="AI28" s="89">
        <f t="shared" si="17"/>
        <v>58.833333333333336</v>
      </c>
      <c r="AJ28" s="89">
        <f t="shared" si="17"/>
        <v>58.833333333333336</v>
      </c>
      <c r="AK28" s="89">
        <f t="shared" si="17"/>
        <v>58.833333333333336</v>
      </c>
      <c r="AL28" s="89">
        <f t="shared" si="17"/>
        <v>58.833333333333336</v>
      </c>
      <c r="AM28" s="89">
        <f t="shared" si="17"/>
        <v>107.58333333333333</v>
      </c>
      <c r="AN28" s="89">
        <f t="shared" si="17"/>
        <v>107.58333333333333</v>
      </c>
      <c r="AO28" s="89">
        <f t="shared" si="17"/>
        <v>107.58333333333333</v>
      </c>
      <c r="AP28" s="89">
        <f t="shared" si="17"/>
        <v>107.58333333333333</v>
      </c>
      <c r="AQ28" s="89">
        <f t="shared" si="17"/>
        <v>107.58333333333333</v>
      </c>
      <c r="AR28" s="89">
        <f t="shared" si="18"/>
        <v>107.58333333333333</v>
      </c>
      <c r="AS28" s="89">
        <f t="shared" si="18"/>
        <v>107.58333333333333</v>
      </c>
      <c r="AT28" s="89">
        <f t="shared" si="18"/>
        <v>107.58333333333333</v>
      </c>
      <c r="AU28" s="89">
        <f t="shared" si="18"/>
        <v>107.58333333333333</v>
      </c>
      <c r="AV28" s="89">
        <f t="shared" si="18"/>
        <v>107.58333333333333</v>
      </c>
      <c r="AW28" s="89">
        <f t="shared" si="18"/>
        <v>107.58333333333333</v>
      </c>
      <c r="AX28" s="89">
        <f t="shared" si="18"/>
        <v>107.58333333333333</v>
      </c>
      <c r="AY28" s="89">
        <f t="shared" si="18"/>
        <v>127.33333333333333</v>
      </c>
      <c r="AZ28" s="89">
        <f t="shared" si="18"/>
        <v>127.33333333333333</v>
      </c>
      <c r="BA28" s="89">
        <f t="shared" si="18"/>
        <v>127.33333333333333</v>
      </c>
      <c r="BB28" s="89">
        <f t="shared" si="19"/>
        <v>127.33333333333333</v>
      </c>
      <c r="BC28" s="89">
        <f t="shared" si="19"/>
        <v>127.33333333333333</v>
      </c>
      <c r="BD28" s="89">
        <f t="shared" si="19"/>
        <v>127.33333333333333</v>
      </c>
      <c r="BE28" s="89">
        <f t="shared" si="19"/>
        <v>127.33333333333333</v>
      </c>
      <c r="BF28" s="89">
        <f t="shared" si="19"/>
        <v>127.33333333333333</v>
      </c>
      <c r="BG28" s="89">
        <f t="shared" si="19"/>
        <v>127.33333333333333</v>
      </c>
      <c r="BH28" s="89">
        <f t="shared" si="19"/>
        <v>127.33333333333333</v>
      </c>
      <c r="BI28" s="89">
        <f t="shared" si="19"/>
        <v>127.33333333333333</v>
      </c>
      <c r="BJ28" s="89">
        <f t="shared" si="19"/>
        <v>127.33333333333333</v>
      </c>
      <c r="BK28" s="89">
        <f t="shared" si="19"/>
        <v>0</v>
      </c>
      <c r="BL28" s="89">
        <f t="shared" si="20"/>
        <v>0</v>
      </c>
      <c r="BM28" s="89">
        <f t="shared" si="20"/>
        <v>0</v>
      </c>
      <c r="BN28" s="89">
        <f t="shared" si="20"/>
        <v>0</v>
      </c>
      <c r="BO28" s="89">
        <f t="shared" si="20"/>
        <v>0</v>
      </c>
      <c r="BP28" s="89">
        <f t="shared" si="20"/>
        <v>0</v>
      </c>
      <c r="BQ28" s="89">
        <f t="shared" si="20"/>
        <v>0</v>
      </c>
      <c r="BR28" s="89">
        <f t="shared" si="20"/>
        <v>0</v>
      </c>
      <c r="BS28" s="89">
        <f t="shared" si="20"/>
        <v>0</v>
      </c>
      <c r="BT28" s="89">
        <f t="shared" si="20"/>
        <v>0</v>
      </c>
      <c r="BU28" s="89">
        <f t="shared" si="20"/>
        <v>0</v>
      </c>
      <c r="BV28" s="89">
        <f t="shared" si="20"/>
        <v>0</v>
      </c>
    </row>
    <row r="29" spans="2:74" ht="18.75" customHeight="1">
      <c r="B29" s="84" t="s">
        <v>87</v>
      </c>
      <c r="C29" s="85" t="s">
        <v>88</v>
      </c>
      <c r="D29" s="85" t="s">
        <v>68</v>
      </c>
      <c r="E29" s="85" t="s">
        <v>18</v>
      </c>
      <c r="F29" s="85" t="s">
        <v>321</v>
      </c>
      <c r="G29" s="86">
        <v>45597</v>
      </c>
      <c r="H29" s="87">
        <v>200</v>
      </c>
      <c r="I29" s="87">
        <v>300</v>
      </c>
      <c r="J29" s="87"/>
      <c r="K29" s="88">
        <f t="shared" si="0"/>
        <v>0</v>
      </c>
      <c r="L29" s="88">
        <f t="shared" si="1"/>
        <v>199.99999999999997</v>
      </c>
      <c r="M29" s="88">
        <f t="shared" si="2"/>
        <v>300</v>
      </c>
      <c r="N29" s="89">
        <f t="shared" si="15"/>
        <v>0</v>
      </c>
      <c r="O29" s="89">
        <f t="shared" si="15"/>
        <v>0</v>
      </c>
      <c r="P29" s="89">
        <f t="shared" si="15"/>
        <v>0</v>
      </c>
      <c r="Q29" s="89">
        <f t="shared" si="15"/>
        <v>0</v>
      </c>
      <c r="R29" s="89">
        <f t="shared" si="15"/>
        <v>0</v>
      </c>
      <c r="S29" s="89">
        <f t="shared" si="15"/>
        <v>0</v>
      </c>
      <c r="T29" s="89">
        <f t="shared" si="15"/>
        <v>0</v>
      </c>
      <c r="U29" s="89">
        <f t="shared" si="15"/>
        <v>0</v>
      </c>
      <c r="V29" s="89">
        <f t="shared" si="15"/>
        <v>0</v>
      </c>
      <c r="W29" s="89">
        <f t="shared" si="15"/>
        <v>0</v>
      </c>
      <c r="X29" s="89">
        <f t="shared" si="16"/>
        <v>0</v>
      </c>
      <c r="Y29" s="89">
        <f t="shared" si="16"/>
        <v>0</v>
      </c>
      <c r="Z29" s="89">
        <f t="shared" si="16"/>
        <v>0</v>
      </c>
      <c r="AA29" s="89">
        <f t="shared" si="16"/>
        <v>16.666666666666668</v>
      </c>
      <c r="AB29" s="89">
        <f t="shared" si="16"/>
        <v>16.666666666666668</v>
      </c>
      <c r="AC29" s="89">
        <f t="shared" si="16"/>
        <v>16.666666666666668</v>
      </c>
      <c r="AD29" s="89">
        <f t="shared" si="16"/>
        <v>16.666666666666668</v>
      </c>
      <c r="AE29" s="89">
        <f t="shared" si="16"/>
        <v>16.666666666666668</v>
      </c>
      <c r="AF29" s="89">
        <f t="shared" si="16"/>
        <v>16.666666666666668</v>
      </c>
      <c r="AG29" s="89">
        <f t="shared" si="16"/>
        <v>16.666666666666668</v>
      </c>
      <c r="AH29" s="89">
        <f t="shared" si="17"/>
        <v>16.666666666666668</v>
      </c>
      <c r="AI29" s="89">
        <f t="shared" si="17"/>
        <v>16.666666666666668</v>
      </c>
      <c r="AJ29" s="89">
        <f t="shared" si="17"/>
        <v>16.666666666666668</v>
      </c>
      <c r="AK29" s="89">
        <f t="shared" si="17"/>
        <v>16.666666666666668</v>
      </c>
      <c r="AL29" s="89">
        <f t="shared" si="17"/>
        <v>16.666666666666668</v>
      </c>
      <c r="AM29" s="89">
        <f t="shared" si="17"/>
        <v>25</v>
      </c>
      <c r="AN29" s="89">
        <f t="shared" si="17"/>
        <v>25</v>
      </c>
      <c r="AO29" s="89">
        <f t="shared" si="17"/>
        <v>25</v>
      </c>
      <c r="AP29" s="89">
        <f t="shared" si="17"/>
        <v>25</v>
      </c>
      <c r="AQ29" s="89">
        <f t="shared" si="17"/>
        <v>25</v>
      </c>
      <c r="AR29" s="89">
        <f t="shared" si="18"/>
        <v>25</v>
      </c>
      <c r="AS29" s="89">
        <f t="shared" si="18"/>
        <v>25</v>
      </c>
      <c r="AT29" s="89">
        <f t="shared" si="18"/>
        <v>25</v>
      </c>
      <c r="AU29" s="89">
        <f t="shared" si="18"/>
        <v>25</v>
      </c>
      <c r="AV29" s="89">
        <f t="shared" si="18"/>
        <v>25</v>
      </c>
      <c r="AW29" s="89">
        <f t="shared" si="18"/>
        <v>25</v>
      </c>
      <c r="AX29" s="89">
        <f t="shared" si="18"/>
        <v>25</v>
      </c>
      <c r="AY29" s="89">
        <f t="shared" si="18"/>
        <v>0</v>
      </c>
      <c r="AZ29" s="89">
        <f t="shared" si="18"/>
        <v>0</v>
      </c>
      <c r="BA29" s="89">
        <f t="shared" si="18"/>
        <v>0</v>
      </c>
      <c r="BB29" s="89">
        <f t="shared" si="19"/>
        <v>0</v>
      </c>
      <c r="BC29" s="89">
        <f t="shared" si="19"/>
        <v>0</v>
      </c>
      <c r="BD29" s="89">
        <f t="shared" si="19"/>
        <v>0</v>
      </c>
      <c r="BE29" s="89">
        <f t="shared" si="19"/>
        <v>0</v>
      </c>
      <c r="BF29" s="89">
        <f t="shared" si="19"/>
        <v>0</v>
      </c>
      <c r="BG29" s="89">
        <f t="shared" si="19"/>
        <v>0</v>
      </c>
      <c r="BH29" s="89">
        <f t="shared" si="19"/>
        <v>0</v>
      </c>
      <c r="BI29" s="89">
        <f t="shared" si="19"/>
        <v>0</v>
      </c>
      <c r="BJ29" s="89">
        <f t="shared" si="19"/>
        <v>0</v>
      </c>
      <c r="BK29" s="89">
        <f t="shared" si="19"/>
        <v>0</v>
      </c>
      <c r="BL29" s="89">
        <f t="shared" si="20"/>
        <v>0</v>
      </c>
      <c r="BM29" s="89">
        <f t="shared" si="20"/>
        <v>0</v>
      </c>
      <c r="BN29" s="89">
        <f t="shared" si="20"/>
        <v>0</v>
      </c>
      <c r="BO29" s="89">
        <f t="shared" si="20"/>
        <v>0</v>
      </c>
      <c r="BP29" s="89">
        <f t="shared" si="20"/>
        <v>0</v>
      </c>
      <c r="BQ29" s="89">
        <f t="shared" si="20"/>
        <v>0</v>
      </c>
      <c r="BR29" s="89">
        <f t="shared" si="20"/>
        <v>0</v>
      </c>
      <c r="BS29" s="89">
        <f t="shared" si="20"/>
        <v>0</v>
      </c>
      <c r="BT29" s="89">
        <f t="shared" si="20"/>
        <v>0</v>
      </c>
      <c r="BU29" s="89">
        <f t="shared" si="20"/>
        <v>0</v>
      </c>
      <c r="BV29" s="89">
        <f t="shared" si="20"/>
        <v>0</v>
      </c>
    </row>
    <row r="30" spans="2:74" ht="18.75" customHeight="1">
      <c r="B30" s="84" t="s">
        <v>50</v>
      </c>
      <c r="C30" s="85" t="s">
        <v>51</v>
      </c>
      <c r="D30" s="85" t="s">
        <v>53</v>
      </c>
      <c r="E30" s="84" t="s">
        <v>17</v>
      </c>
      <c r="F30" s="84" t="s">
        <v>322</v>
      </c>
      <c r="G30" s="86">
        <v>45717</v>
      </c>
      <c r="H30" s="87">
        <v>150</v>
      </c>
      <c r="I30" s="87">
        <v>400</v>
      </c>
      <c r="J30" s="87">
        <v>1000</v>
      </c>
      <c r="K30" s="88">
        <f t="shared" si="0"/>
        <v>62.5</v>
      </c>
      <c r="L30" s="88">
        <f t="shared" si="1"/>
        <v>254.16666666666671</v>
      </c>
      <c r="M30" s="88">
        <f t="shared" si="2"/>
        <v>650</v>
      </c>
      <c r="N30" s="89">
        <f t="shared" si="15"/>
        <v>0</v>
      </c>
      <c r="O30" s="89">
        <f t="shared" si="15"/>
        <v>0</v>
      </c>
      <c r="P30" s="89">
        <f t="shared" si="15"/>
        <v>0</v>
      </c>
      <c r="Q30" s="89">
        <f t="shared" si="15"/>
        <v>0</v>
      </c>
      <c r="R30" s="89">
        <f t="shared" si="15"/>
        <v>0</v>
      </c>
      <c r="S30" s="89">
        <f t="shared" si="15"/>
        <v>0</v>
      </c>
      <c r="T30" s="89">
        <f t="shared" si="15"/>
        <v>0</v>
      </c>
      <c r="U30" s="89">
        <f t="shared" si="15"/>
        <v>0</v>
      </c>
      <c r="V30" s="89">
        <f t="shared" si="15"/>
        <v>12.5</v>
      </c>
      <c r="W30" s="89">
        <f t="shared" si="15"/>
        <v>12.5</v>
      </c>
      <c r="X30" s="89">
        <f t="shared" si="16"/>
        <v>12.5</v>
      </c>
      <c r="Y30" s="89">
        <f t="shared" si="16"/>
        <v>12.5</v>
      </c>
      <c r="Z30" s="89">
        <f t="shared" si="16"/>
        <v>12.5</v>
      </c>
      <c r="AA30" s="89">
        <f t="shared" si="16"/>
        <v>12.5</v>
      </c>
      <c r="AB30" s="89">
        <f t="shared" si="16"/>
        <v>12.5</v>
      </c>
      <c r="AC30" s="89">
        <f t="shared" si="16"/>
        <v>12.5</v>
      </c>
      <c r="AD30" s="89">
        <f t="shared" si="16"/>
        <v>12.5</v>
      </c>
      <c r="AE30" s="89">
        <f t="shared" si="16"/>
        <v>12.5</v>
      </c>
      <c r="AF30" s="89">
        <f t="shared" si="16"/>
        <v>12.5</v>
      </c>
      <c r="AG30" s="89">
        <f t="shared" si="16"/>
        <v>12.5</v>
      </c>
      <c r="AH30" s="89">
        <f t="shared" si="17"/>
        <v>33.333333333333336</v>
      </c>
      <c r="AI30" s="89">
        <f t="shared" si="17"/>
        <v>33.333333333333336</v>
      </c>
      <c r="AJ30" s="89">
        <f t="shared" si="17"/>
        <v>33.333333333333336</v>
      </c>
      <c r="AK30" s="89">
        <f t="shared" si="17"/>
        <v>33.333333333333336</v>
      </c>
      <c r="AL30" s="89">
        <f t="shared" si="17"/>
        <v>33.333333333333336</v>
      </c>
      <c r="AM30" s="89">
        <f t="shared" si="17"/>
        <v>33.333333333333336</v>
      </c>
      <c r="AN30" s="89">
        <f t="shared" si="17"/>
        <v>33.333333333333336</v>
      </c>
      <c r="AO30" s="89">
        <f t="shared" si="17"/>
        <v>33.333333333333336</v>
      </c>
      <c r="AP30" s="89">
        <f t="shared" si="17"/>
        <v>33.333333333333336</v>
      </c>
      <c r="AQ30" s="89">
        <f t="shared" si="17"/>
        <v>33.333333333333336</v>
      </c>
      <c r="AR30" s="89">
        <f t="shared" si="18"/>
        <v>33.333333333333336</v>
      </c>
      <c r="AS30" s="89">
        <f t="shared" si="18"/>
        <v>33.333333333333336</v>
      </c>
      <c r="AT30" s="89">
        <f t="shared" si="18"/>
        <v>83.333333333333329</v>
      </c>
      <c r="AU30" s="89">
        <f t="shared" si="18"/>
        <v>83.333333333333329</v>
      </c>
      <c r="AV30" s="89">
        <f t="shared" si="18"/>
        <v>83.333333333333329</v>
      </c>
      <c r="AW30" s="89">
        <f t="shared" si="18"/>
        <v>83.333333333333329</v>
      </c>
      <c r="AX30" s="89">
        <f t="shared" si="18"/>
        <v>83.333333333333329</v>
      </c>
      <c r="AY30" s="89">
        <f t="shared" si="18"/>
        <v>83.333333333333329</v>
      </c>
      <c r="AZ30" s="89">
        <f t="shared" si="18"/>
        <v>83.333333333333329</v>
      </c>
      <c r="BA30" s="89">
        <f t="shared" si="18"/>
        <v>83.333333333333329</v>
      </c>
      <c r="BB30" s="89">
        <f t="shared" si="19"/>
        <v>83.333333333333329</v>
      </c>
      <c r="BC30" s="89">
        <f t="shared" si="19"/>
        <v>83.333333333333329</v>
      </c>
      <c r="BD30" s="89">
        <f t="shared" si="19"/>
        <v>83.333333333333329</v>
      </c>
      <c r="BE30" s="89">
        <f t="shared" si="19"/>
        <v>83.333333333333329</v>
      </c>
      <c r="BF30" s="89">
        <f t="shared" si="19"/>
        <v>0</v>
      </c>
      <c r="BG30" s="89">
        <f t="shared" si="19"/>
        <v>0</v>
      </c>
      <c r="BH30" s="89">
        <f t="shared" si="19"/>
        <v>0</v>
      </c>
      <c r="BI30" s="89">
        <f t="shared" si="19"/>
        <v>0</v>
      </c>
      <c r="BJ30" s="89">
        <f t="shared" si="19"/>
        <v>0</v>
      </c>
      <c r="BK30" s="89">
        <f t="shared" si="19"/>
        <v>0</v>
      </c>
      <c r="BL30" s="89">
        <f t="shared" si="20"/>
        <v>0</v>
      </c>
      <c r="BM30" s="89">
        <f t="shared" si="20"/>
        <v>0</v>
      </c>
      <c r="BN30" s="89">
        <f t="shared" si="20"/>
        <v>0</v>
      </c>
      <c r="BO30" s="89">
        <f t="shared" si="20"/>
        <v>0</v>
      </c>
      <c r="BP30" s="89">
        <f t="shared" si="20"/>
        <v>0</v>
      </c>
      <c r="BQ30" s="89">
        <f t="shared" si="20"/>
        <v>0</v>
      </c>
      <c r="BR30" s="89">
        <f t="shared" si="20"/>
        <v>0</v>
      </c>
      <c r="BS30" s="89">
        <f t="shared" si="20"/>
        <v>0</v>
      </c>
      <c r="BT30" s="89">
        <f t="shared" si="20"/>
        <v>0</v>
      </c>
      <c r="BU30" s="89">
        <f t="shared" si="20"/>
        <v>0</v>
      </c>
      <c r="BV30" s="89">
        <f t="shared" si="20"/>
        <v>0</v>
      </c>
    </row>
    <row r="31" spans="2:74" ht="18.75" customHeight="1">
      <c r="B31" s="84" t="s">
        <v>50</v>
      </c>
      <c r="C31" s="85" t="s">
        <v>51</v>
      </c>
      <c r="D31" s="85" t="s">
        <v>53</v>
      </c>
      <c r="E31" s="85" t="s">
        <v>18</v>
      </c>
      <c r="F31" s="84" t="s">
        <v>322</v>
      </c>
      <c r="G31" s="86">
        <v>45717</v>
      </c>
      <c r="H31" s="87">
        <v>150</v>
      </c>
      <c r="I31" s="87">
        <v>400</v>
      </c>
      <c r="J31" s="87">
        <v>1000</v>
      </c>
      <c r="K31" s="88">
        <f t="shared" si="0"/>
        <v>62.5</v>
      </c>
      <c r="L31" s="88">
        <f t="shared" si="1"/>
        <v>254.16666666666671</v>
      </c>
      <c r="M31" s="88">
        <f t="shared" si="2"/>
        <v>650</v>
      </c>
      <c r="N31" s="89">
        <f t="shared" si="15"/>
        <v>0</v>
      </c>
      <c r="O31" s="89">
        <f t="shared" si="15"/>
        <v>0</v>
      </c>
      <c r="P31" s="89">
        <f t="shared" si="15"/>
        <v>0</v>
      </c>
      <c r="Q31" s="89">
        <f t="shared" si="15"/>
        <v>0</v>
      </c>
      <c r="R31" s="89">
        <f t="shared" si="15"/>
        <v>0</v>
      </c>
      <c r="S31" s="89">
        <f t="shared" si="15"/>
        <v>0</v>
      </c>
      <c r="T31" s="89">
        <f t="shared" si="15"/>
        <v>0</v>
      </c>
      <c r="U31" s="89">
        <f t="shared" si="15"/>
        <v>0</v>
      </c>
      <c r="V31" s="89">
        <f t="shared" si="15"/>
        <v>12.5</v>
      </c>
      <c r="W31" s="89">
        <f t="shared" si="15"/>
        <v>12.5</v>
      </c>
      <c r="X31" s="89">
        <f t="shared" si="16"/>
        <v>12.5</v>
      </c>
      <c r="Y31" s="89">
        <f t="shared" si="16"/>
        <v>12.5</v>
      </c>
      <c r="Z31" s="89">
        <f t="shared" si="16"/>
        <v>12.5</v>
      </c>
      <c r="AA31" s="89">
        <f t="shared" si="16"/>
        <v>12.5</v>
      </c>
      <c r="AB31" s="89">
        <f t="shared" si="16"/>
        <v>12.5</v>
      </c>
      <c r="AC31" s="89">
        <f t="shared" si="16"/>
        <v>12.5</v>
      </c>
      <c r="AD31" s="89">
        <f t="shared" si="16"/>
        <v>12.5</v>
      </c>
      <c r="AE31" s="89">
        <f t="shared" si="16"/>
        <v>12.5</v>
      </c>
      <c r="AF31" s="89">
        <f t="shared" si="16"/>
        <v>12.5</v>
      </c>
      <c r="AG31" s="89">
        <f t="shared" si="16"/>
        <v>12.5</v>
      </c>
      <c r="AH31" s="89">
        <f t="shared" si="17"/>
        <v>33.333333333333336</v>
      </c>
      <c r="AI31" s="89">
        <f t="shared" si="17"/>
        <v>33.333333333333336</v>
      </c>
      <c r="AJ31" s="89">
        <f t="shared" si="17"/>
        <v>33.333333333333336</v>
      </c>
      <c r="AK31" s="89">
        <f t="shared" si="17"/>
        <v>33.333333333333336</v>
      </c>
      <c r="AL31" s="89">
        <f t="shared" si="17"/>
        <v>33.333333333333336</v>
      </c>
      <c r="AM31" s="89">
        <f t="shared" si="17"/>
        <v>33.333333333333336</v>
      </c>
      <c r="AN31" s="89">
        <f t="shared" si="17"/>
        <v>33.333333333333336</v>
      </c>
      <c r="AO31" s="89">
        <f t="shared" si="17"/>
        <v>33.333333333333336</v>
      </c>
      <c r="AP31" s="89">
        <f t="shared" si="17"/>
        <v>33.333333333333336</v>
      </c>
      <c r="AQ31" s="89">
        <f t="shared" si="17"/>
        <v>33.333333333333336</v>
      </c>
      <c r="AR31" s="89">
        <f t="shared" si="18"/>
        <v>33.333333333333336</v>
      </c>
      <c r="AS31" s="89">
        <f t="shared" si="18"/>
        <v>33.333333333333336</v>
      </c>
      <c r="AT31" s="89">
        <f t="shared" si="18"/>
        <v>83.333333333333329</v>
      </c>
      <c r="AU31" s="89">
        <f t="shared" si="18"/>
        <v>83.333333333333329</v>
      </c>
      <c r="AV31" s="89">
        <f t="shared" si="18"/>
        <v>83.333333333333329</v>
      </c>
      <c r="AW31" s="89">
        <f t="shared" si="18"/>
        <v>83.333333333333329</v>
      </c>
      <c r="AX31" s="89">
        <f t="shared" si="18"/>
        <v>83.333333333333329</v>
      </c>
      <c r="AY31" s="89">
        <f t="shared" si="18"/>
        <v>83.333333333333329</v>
      </c>
      <c r="AZ31" s="89">
        <f t="shared" si="18"/>
        <v>83.333333333333329</v>
      </c>
      <c r="BA31" s="89">
        <f t="shared" si="18"/>
        <v>83.333333333333329</v>
      </c>
      <c r="BB31" s="89">
        <f t="shared" si="19"/>
        <v>83.333333333333329</v>
      </c>
      <c r="BC31" s="89">
        <f t="shared" si="19"/>
        <v>83.333333333333329</v>
      </c>
      <c r="BD31" s="89">
        <f t="shared" si="19"/>
        <v>83.333333333333329</v>
      </c>
      <c r="BE31" s="89">
        <f t="shared" si="19"/>
        <v>83.333333333333329</v>
      </c>
      <c r="BF31" s="89">
        <f t="shared" si="19"/>
        <v>0</v>
      </c>
      <c r="BG31" s="89">
        <f t="shared" si="19"/>
        <v>0</v>
      </c>
      <c r="BH31" s="89">
        <f t="shared" si="19"/>
        <v>0</v>
      </c>
      <c r="BI31" s="89">
        <f t="shared" si="19"/>
        <v>0</v>
      </c>
      <c r="BJ31" s="89">
        <f t="shared" si="19"/>
        <v>0</v>
      </c>
      <c r="BK31" s="89">
        <f t="shared" si="19"/>
        <v>0</v>
      </c>
      <c r="BL31" s="89">
        <f t="shared" si="20"/>
        <v>0</v>
      </c>
      <c r="BM31" s="89">
        <f t="shared" si="20"/>
        <v>0</v>
      </c>
      <c r="BN31" s="89">
        <f t="shared" si="20"/>
        <v>0</v>
      </c>
      <c r="BO31" s="89">
        <f t="shared" si="20"/>
        <v>0</v>
      </c>
      <c r="BP31" s="89">
        <f t="shared" si="20"/>
        <v>0</v>
      </c>
      <c r="BQ31" s="89">
        <f t="shared" si="20"/>
        <v>0</v>
      </c>
      <c r="BR31" s="89">
        <f t="shared" si="20"/>
        <v>0</v>
      </c>
      <c r="BS31" s="89">
        <f t="shared" si="20"/>
        <v>0</v>
      </c>
      <c r="BT31" s="89">
        <f t="shared" si="20"/>
        <v>0</v>
      </c>
      <c r="BU31" s="89">
        <f t="shared" si="20"/>
        <v>0</v>
      </c>
      <c r="BV31" s="89">
        <f t="shared" si="20"/>
        <v>0</v>
      </c>
    </row>
    <row r="32" spans="2:74" ht="18.75" customHeight="1">
      <c r="B32" s="84" t="s">
        <v>113</v>
      </c>
      <c r="C32" s="85" t="s">
        <v>51</v>
      </c>
      <c r="D32" s="85" t="s">
        <v>304</v>
      </c>
      <c r="E32" s="84" t="s">
        <v>17</v>
      </c>
      <c r="F32" s="84" t="s">
        <v>322</v>
      </c>
      <c r="G32" s="86">
        <v>45870</v>
      </c>
      <c r="H32" s="87">
        <v>400</v>
      </c>
      <c r="I32" s="87">
        <v>600</v>
      </c>
      <c r="J32" s="87">
        <v>1000</v>
      </c>
      <c r="K32" s="88">
        <f t="shared" si="0"/>
        <v>0</v>
      </c>
      <c r="L32" s="88">
        <f t="shared" si="1"/>
        <v>399.99999999999994</v>
      </c>
      <c r="M32" s="88">
        <f t="shared" si="2"/>
        <v>600</v>
      </c>
      <c r="N32" s="89">
        <f t="shared" si="15"/>
        <v>0</v>
      </c>
      <c r="O32" s="89">
        <f t="shared" si="15"/>
        <v>0</v>
      </c>
      <c r="P32" s="89">
        <f t="shared" si="15"/>
        <v>0</v>
      </c>
      <c r="Q32" s="89">
        <f t="shared" si="15"/>
        <v>0</v>
      </c>
      <c r="R32" s="89">
        <f t="shared" si="15"/>
        <v>0</v>
      </c>
      <c r="S32" s="89">
        <f t="shared" si="15"/>
        <v>0</v>
      </c>
      <c r="T32" s="89">
        <f t="shared" si="15"/>
        <v>0</v>
      </c>
      <c r="U32" s="89">
        <f t="shared" si="15"/>
        <v>0</v>
      </c>
      <c r="V32" s="89">
        <f t="shared" si="15"/>
        <v>0</v>
      </c>
      <c r="W32" s="89">
        <f t="shared" si="15"/>
        <v>0</v>
      </c>
      <c r="X32" s="89">
        <f t="shared" si="16"/>
        <v>0</v>
      </c>
      <c r="Y32" s="89">
        <f t="shared" si="16"/>
        <v>0</v>
      </c>
      <c r="Z32" s="89">
        <f t="shared" si="16"/>
        <v>0</v>
      </c>
      <c r="AA32" s="89">
        <f t="shared" si="16"/>
        <v>33.333333333333336</v>
      </c>
      <c r="AB32" s="89">
        <f t="shared" si="16"/>
        <v>33.333333333333336</v>
      </c>
      <c r="AC32" s="89">
        <f t="shared" si="16"/>
        <v>33.333333333333336</v>
      </c>
      <c r="AD32" s="89">
        <f t="shared" si="16"/>
        <v>33.333333333333336</v>
      </c>
      <c r="AE32" s="89">
        <f t="shared" si="16"/>
        <v>33.333333333333336</v>
      </c>
      <c r="AF32" s="89">
        <f t="shared" si="16"/>
        <v>33.333333333333336</v>
      </c>
      <c r="AG32" s="89">
        <f t="shared" si="16"/>
        <v>33.333333333333336</v>
      </c>
      <c r="AH32" s="89">
        <f t="shared" si="17"/>
        <v>33.333333333333336</v>
      </c>
      <c r="AI32" s="89">
        <f t="shared" si="17"/>
        <v>33.333333333333336</v>
      </c>
      <c r="AJ32" s="89">
        <f t="shared" si="17"/>
        <v>33.333333333333336</v>
      </c>
      <c r="AK32" s="89">
        <f t="shared" si="17"/>
        <v>33.333333333333336</v>
      </c>
      <c r="AL32" s="89">
        <f t="shared" si="17"/>
        <v>33.333333333333336</v>
      </c>
      <c r="AM32" s="89">
        <f t="shared" si="17"/>
        <v>50</v>
      </c>
      <c r="AN32" s="89">
        <f t="shared" si="17"/>
        <v>50</v>
      </c>
      <c r="AO32" s="89">
        <f t="shared" si="17"/>
        <v>50</v>
      </c>
      <c r="AP32" s="89">
        <f t="shared" si="17"/>
        <v>50</v>
      </c>
      <c r="AQ32" s="89">
        <f t="shared" si="17"/>
        <v>50</v>
      </c>
      <c r="AR32" s="89">
        <f t="shared" si="18"/>
        <v>50</v>
      </c>
      <c r="AS32" s="89">
        <f t="shared" si="18"/>
        <v>50</v>
      </c>
      <c r="AT32" s="89">
        <f t="shared" si="18"/>
        <v>50</v>
      </c>
      <c r="AU32" s="89">
        <f t="shared" si="18"/>
        <v>50</v>
      </c>
      <c r="AV32" s="89">
        <f t="shared" si="18"/>
        <v>50</v>
      </c>
      <c r="AW32" s="89">
        <f t="shared" si="18"/>
        <v>50</v>
      </c>
      <c r="AX32" s="89">
        <f t="shared" si="18"/>
        <v>50</v>
      </c>
      <c r="AY32" s="89">
        <f t="shared" si="18"/>
        <v>83.333333333333329</v>
      </c>
      <c r="AZ32" s="89">
        <f t="shared" si="18"/>
        <v>83.333333333333329</v>
      </c>
      <c r="BA32" s="89">
        <f t="shared" si="18"/>
        <v>83.333333333333329</v>
      </c>
      <c r="BB32" s="89">
        <f t="shared" si="19"/>
        <v>83.333333333333329</v>
      </c>
      <c r="BC32" s="89">
        <f t="shared" si="19"/>
        <v>83.333333333333329</v>
      </c>
      <c r="BD32" s="89">
        <f t="shared" si="19"/>
        <v>83.333333333333329</v>
      </c>
      <c r="BE32" s="89">
        <f t="shared" si="19"/>
        <v>83.333333333333329</v>
      </c>
      <c r="BF32" s="89">
        <f t="shared" si="19"/>
        <v>83.333333333333329</v>
      </c>
      <c r="BG32" s="89">
        <f t="shared" si="19"/>
        <v>83.333333333333329</v>
      </c>
      <c r="BH32" s="89">
        <f t="shared" si="19"/>
        <v>83.333333333333329</v>
      </c>
      <c r="BI32" s="89">
        <f t="shared" si="19"/>
        <v>83.333333333333329</v>
      </c>
      <c r="BJ32" s="89">
        <f t="shared" si="19"/>
        <v>83.333333333333329</v>
      </c>
      <c r="BK32" s="89">
        <f t="shared" si="19"/>
        <v>0</v>
      </c>
      <c r="BL32" s="89">
        <f t="shared" si="20"/>
        <v>0</v>
      </c>
      <c r="BM32" s="89">
        <f t="shared" si="20"/>
        <v>0</v>
      </c>
      <c r="BN32" s="89">
        <f t="shared" si="20"/>
        <v>0</v>
      </c>
      <c r="BO32" s="89">
        <f t="shared" si="20"/>
        <v>0</v>
      </c>
      <c r="BP32" s="89">
        <f t="shared" si="20"/>
        <v>0</v>
      </c>
      <c r="BQ32" s="89">
        <f t="shared" si="20"/>
        <v>0</v>
      </c>
      <c r="BR32" s="89">
        <f t="shared" si="20"/>
        <v>0</v>
      </c>
      <c r="BS32" s="89">
        <f t="shared" si="20"/>
        <v>0</v>
      </c>
      <c r="BT32" s="89">
        <f t="shared" si="20"/>
        <v>0</v>
      </c>
      <c r="BU32" s="89">
        <f t="shared" si="20"/>
        <v>0</v>
      </c>
      <c r="BV32" s="89">
        <f t="shared" si="20"/>
        <v>0</v>
      </c>
    </row>
    <row r="33" spans="2:74" ht="18.75" customHeight="1">
      <c r="B33" s="84" t="s">
        <v>113</v>
      </c>
      <c r="C33" s="85" t="s">
        <v>51</v>
      </c>
      <c r="D33" s="85" t="s">
        <v>304</v>
      </c>
      <c r="E33" s="85" t="s">
        <v>18</v>
      </c>
      <c r="F33" s="84" t="s">
        <v>322</v>
      </c>
      <c r="G33" s="86">
        <v>45870</v>
      </c>
      <c r="H33" s="87">
        <v>200</v>
      </c>
      <c r="I33" s="87">
        <v>400</v>
      </c>
      <c r="J33" s="87">
        <v>600</v>
      </c>
      <c r="K33" s="88">
        <f t="shared" si="0"/>
        <v>0</v>
      </c>
      <c r="L33" s="88">
        <f t="shared" si="1"/>
        <v>199.99999999999997</v>
      </c>
      <c r="M33" s="88">
        <f t="shared" si="2"/>
        <v>399.99999999999994</v>
      </c>
      <c r="N33" s="89">
        <f t="shared" si="15"/>
        <v>0</v>
      </c>
      <c r="O33" s="89">
        <f t="shared" si="15"/>
        <v>0</v>
      </c>
      <c r="P33" s="89">
        <f t="shared" si="15"/>
        <v>0</v>
      </c>
      <c r="Q33" s="89">
        <f t="shared" si="15"/>
        <v>0</v>
      </c>
      <c r="R33" s="89">
        <f t="shared" si="15"/>
        <v>0</v>
      </c>
      <c r="S33" s="89">
        <f t="shared" si="15"/>
        <v>0</v>
      </c>
      <c r="T33" s="89">
        <f t="shared" si="15"/>
        <v>0</v>
      </c>
      <c r="U33" s="89">
        <f t="shared" si="15"/>
        <v>0</v>
      </c>
      <c r="V33" s="89">
        <f t="shared" si="15"/>
        <v>0</v>
      </c>
      <c r="W33" s="89">
        <f t="shared" si="15"/>
        <v>0</v>
      </c>
      <c r="X33" s="89">
        <f t="shared" si="16"/>
        <v>0</v>
      </c>
      <c r="Y33" s="89">
        <f t="shared" si="16"/>
        <v>0</v>
      </c>
      <c r="Z33" s="89">
        <f t="shared" si="16"/>
        <v>0</v>
      </c>
      <c r="AA33" s="89">
        <f t="shared" si="16"/>
        <v>16.666666666666668</v>
      </c>
      <c r="AB33" s="89">
        <f t="shared" si="16"/>
        <v>16.666666666666668</v>
      </c>
      <c r="AC33" s="89">
        <f t="shared" si="16"/>
        <v>16.666666666666668</v>
      </c>
      <c r="AD33" s="89">
        <f t="shared" si="16"/>
        <v>16.666666666666668</v>
      </c>
      <c r="AE33" s="89">
        <f t="shared" si="16"/>
        <v>16.666666666666668</v>
      </c>
      <c r="AF33" s="89">
        <f t="shared" si="16"/>
        <v>16.666666666666668</v>
      </c>
      <c r="AG33" s="89">
        <f t="shared" si="16"/>
        <v>16.666666666666668</v>
      </c>
      <c r="AH33" s="89">
        <f t="shared" si="17"/>
        <v>16.666666666666668</v>
      </c>
      <c r="AI33" s="89">
        <f t="shared" si="17"/>
        <v>16.666666666666668</v>
      </c>
      <c r="AJ33" s="89">
        <f t="shared" si="17"/>
        <v>16.666666666666668</v>
      </c>
      <c r="AK33" s="89">
        <f t="shared" si="17"/>
        <v>16.666666666666668</v>
      </c>
      <c r="AL33" s="89">
        <f t="shared" si="17"/>
        <v>16.666666666666668</v>
      </c>
      <c r="AM33" s="89">
        <f t="shared" si="17"/>
        <v>33.333333333333336</v>
      </c>
      <c r="AN33" s="89">
        <f t="shared" si="17"/>
        <v>33.333333333333336</v>
      </c>
      <c r="AO33" s="89">
        <f t="shared" si="17"/>
        <v>33.333333333333336</v>
      </c>
      <c r="AP33" s="89">
        <f t="shared" si="17"/>
        <v>33.333333333333336</v>
      </c>
      <c r="AQ33" s="89">
        <f t="shared" si="17"/>
        <v>33.333333333333336</v>
      </c>
      <c r="AR33" s="89">
        <f t="shared" si="18"/>
        <v>33.333333333333336</v>
      </c>
      <c r="AS33" s="89">
        <f t="shared" si="18"/>
        <v>33.333333333333336</v>
      </c>
      <c r="AT33" s="89">
        <f t="shared" si="18"/>
        <v>33.333333333333336</v>
      </c>
      <c r="AU33" s="89">
        <f t="shared" si="18"/>
        <v>33.333333333333336</v>
      </c>
      <c r="AV33" s="89">
        <f t="shared" si="18"/>
        <v>33.333333333333336</v>
      </c>
      <c r="AW33" s="89">
        <f t="shared" si="18"/>
        <v>33.333333333333336</v>
      </c>
      <c r="AX33" s="89">
        <f t="shared" si="18"/>
        <v>33.333333333333336</v>
      </c>
      <c r="AY33" s="89">
        <f t="shared" si="18"/>
        <v>50</v>
      </c>
      <c r="AZ33" s="89">
        <f t="shared" si="18"/>
        <v>50</v>
      </c>
      <c r="BA33" s="89">
        <f t="shared" si="18"/>
        <v>50</v>
      </c>
      <c r="BB33" s="89">
        <f t="shared" si="19"/>
        <v>50</v>
      </c>
      <c r="BC33" s="89">
        <f t="shared" si="19"/>
        <v>50</v>
      </c>
      <c r="BD33" s="89">
        <f t="shared" si="19"/>
        <v>50</v>
      </c>
      <c r="BE33" s="89">
        <f t="shared" si="19"/>
        <v>50</v>
      </c>
      <c r="BF33" s="89">
        <f t="shared" si="19"/>
        <v>50</v>
      </c>
      <c r="BG33" s="89">
        <f t="shared" si="19"/>
        <v>50</v>
      </c>
      <c r="BH33" s="89">
        <f t="shared" si="19"/>
        <v>50</v>
      </c>
      <c r="BI33" s="89">
        <f t="shared" si="19"/>
        <v>50</v>
      </c>
      <c r="BJ33" s="89">
        <f t="shared" si="19"/>
        <v>50</v>
      </c>
      <c r="BK33" s="89">
        <f t="shared" si="19"/>
        <v>0</v>
      </c>
      <c r="BL33" s="89">
        <f t="shared" si="20"/>
        <v>0</v>
      </c>
      <c r="BM33" s="89">
        <f t="shared" si="20"/>
        <v>0</v>
      </c>
      <c r="BN33" s="89">
        <f t="shared" si="20"/>
        <v>0</v>
      </c>
      <c r="BO33" s="89">
        <f t="shared" si="20"/>
        <v>0</v>
      </c>
      <c r="BP33" s="89">
        <f t="shared" si="20"/>
        <v>0</v>
      </c>
      <c r="BQ33" s="89">
        <f t="shared" si="20"/>
        <v>0</v>
      </c>
      <c r="BR33" s="89">
        <f t="shared" si="20"/>
        <v>0</v>
      </c>
      <c r="BS33" s="89">
        <f t="shared" si="20"/>
        <v>0</v>
      </c>
      <c r="BT33" s="89">
        <f t="shared" si="20"/>
        <v>0</v>
      </c>
      <c r="BU33" s="89">
        <f t="shared" si="20"/>
        <v>0</v>
      </c>
      <c r="BV33" s="89">
        <f t="shared" si="20"/>
        <v>0</v>
      </c>
    </row>
    <row r="34" spans="2:74" ht="18.75" customHeight="1">
      <c r="B34" s="84" t="s">
        <v>223</v>
      </c>
      <c r="C34" s="85" t="s">
        <v>51</v>
      </c>
      <c r="D34" s="85" t="s">
        <v>325</v>
      </c>
      <c r="E34" s="84" t="s">
        <v>17</v>
      </c>
      <c r="F34" s="85" t="s">
        <v>321</v>
      </c>
      <c r="G34" s="86">
        <v>46235</v>
      </c>
      <c r="H34" s="87"/>
      <c r="I34" s="87">
        <v>150</v>
      </c>
      <c r="J34" s="87">
        <v>300</v>
      </c>
      <c r="K34" s="88">
        <f t="shared" si="0"/>
        <v>0</v>
      </c>
      <c r="L34" s="88">
        <f t="shared" si="1"/>
        <v>0</v>
      </c>
      <c r="M34" s="88">
        <f t="shared" si="2"/>
        <v>150</v>
      </c>
      <c r="N34" s="89">
        <f t="shared" si="15"/>
        <v>0</v>
      </c>
      <c r="O34" s="89">
        <f t="shared" si="15"/>
        <v>0</v>
      </c>
      <c r="P34" s="89">
        <f t="shared" si="15"/>
        <v>0</v>
      </c>
      <c r="Q34" s="89">
        <f t="shared" si="15"/>
        <v>0</v>
      </c>
      <c r="R34" s="89">
        <f t="shared" si="15"/>
        <v>0</v>
      </c>
      <c r="S34" s="89">
        <f t="shared" si="15"/>
        <v>0</v>
      </c>
      <c r="T34" s="89">
        <f t="shared" si="15"/>
        <v>0</v>
      </c>
      <c r="U34" s="89">
        <f t="shared" si="15"/>
        <v>0</v>
      </c>
      <c r="V34" s="89">
        <f t="shared" si="15"/>
        <v>0</v>
      </c>
      <c r="W34" s="89">
        <f t="shared" si="15"/>
        <v>0</v>
      </c>
      <c r="X34" s="89">
        <f t="shared" si="16"/>
        <v>0</v>
      </c>
      <c r="Y34" s="89">
        <f t="shared" si="16"/>
        <v>0</v>
      </c>
      <c r="Z34" s="89">
        <f t="shared" si="16"/>
        <v>0</v>
      </c>
      <c r="AA34" s="89">
        <f t="shared" si="16"/>
        <v>0</v>
      </c>
      <c r="AB34" s="89">
        <f t="shared" si="16"/>
        <v>0</v>
      </c>
      <c r="AC34" s="89">
        <f t="shared" si="16"/>
        <v>0</v>
      </c>
      <c r="AD34" s="89">
        <f t="shared" si="16"/>
        <v>0</v>
      </c>
      <c r="AE34" s="89">
        <f t="shared" si="16"/>
        <v>0</v>
      </c>
      <c r="AF34" s="89">
        <f t="shared" si="16"/>
        <v>0</v>
      </c>
      <c r="AG34" s="89">
        <f t="shared" si="16"/>
        <v>0</v>
      </c>
      <c r="AH34" s="89">
        <f t="shared" si="17"/>
        <v>0</v>
      </c>
      <c r="AI34" s="89">
        <f t="shared" si="17"/>
        <v>0</v>
      </c>
      <c r="AJ34" s="89">
        <f t="shared" si="17"/>
        <v>0</v>
      </c>
      <c r="AK34" s="89">
        <f t="shared" si="17"/>
        <v>0</v>
      </c>
      <c r="AL34" s="89">
        <f t="shared" si="17"/>
        <v>0</v>
      </c>
      <c r="AM34" s="89">
        <f t="shared" si="17"/>
        <v>12.5</v>
      </c>
      <c r="AN34" s="89">
        <f t="shared" si="17"/>
        <v>12.5</v>
      </c>
      <c r="AO34" s="89">
        <f t="shared" si="17"/>
        <v>12.5</v>
      </c>
      <c r="AP34" s="89">
        <f t="shared" si="17"/>
        <v>12.5</v>
      </c>
      <c r="AQ34" s="89">
        <f t="shared" si="17"/>
        <v>12.5</v>
      </c>
      <c r="AR34" s="89">
        <f t="shared" si="18"/>
        <v>12.5</v>
      </c>
      <c r="AS34" s="89">
        <f t="shared" si="18"/>
        <v>12.5</v>
      </c>
      <c r="AT34" s="89">
        <f t="shared" si="18"/>
        <v>12.5</v>
      </c>
      <c r="AU34" s="89">
        <f t="shared" si="18"/>
        <v>12.5</v>
      </c>
      <c r="AV34" s="89">
        <f t="shared" si="18"/>
        <v>12.5</v>
      </c>
      <c r="AW34" s="89">
        <f t="shared" si="18"/>
        <v>12.5</v>
      </c>
      <c r="AX34" s="89">
        <f t="shared" si="18"/>
        <v>12.5</v>
      </c>
      <c r="AY34" s="89">
        <f t="shared" si="18"/>
        <v>25</v>
      </c>
      <c r="AZ34" s="89">
        <f t="shared" si="18"/>
        <v>25</v>
      </c>
      <c r="BA34" s="89">
        <f t="shared" si="18"/>
        <v>25</v>
      </c>
      <c r="BB34" s="89">
        <f t="shared" si="19"/>
        <v>25</v>
      </c>
      <c r="BC34" s="89">
        <f t="shared" si="19"/>
        <v>25</v>
      </c>
      <c r="BD34" s="89">
        <f t="shared" si="19"/>
        <v>25</v>
      </c>
      <c r="BE34" s="89">
        <f t="shared" si="19"/>
        <v>25</v>
      </c>
      <c r="BF34" s="89">
        <f t="shared" si="19"/>
        <v>25</v>
      </c>
      <c r="BG34" s="89">
        <f t="shared" si="19"/>
        <v>25</v>
      </c>
      <c r="BH34" s="89">
        <f t="shared" si="19"/>
        <v>25</v>
      </c>
      <c r="BI34" s="89">
        <f t="shared" si="19"/>
        <v>25</v>
      </c>
      <c r="BJ34" s="89">
        <f t="shared" si="19"/>
        <v>25</v>
      </c>
      <c r="BK34" s="89">
        <f t="shared" si="19"/>
        <v>0</v>
      </c>
      <c r="BL34" s="89">
        <f t="shared" si="20"/>
        <v>0</v>
      </c>
      <c r="BM34" s="89">
        <f t="shared" si="20"/>
        <v>0</v>
      </c>
      <c r="BN34" s="89">
        <f t="shared" si="20"/>
        <v>0</v>
      </c>
      <c r="BO34" s="89">
        <f t="shared" si="20"/>
        <v>0</v>
      </c>
      <c r="BP34" s="89">
        <f t="shared" si="20"/>
        <v>0</v>
      </c>
      <c r="BQ34" s="89">
        <f t="shared" si="20"/>
        <v>0</v>
      </c>
      <c r="BR34" s="89">
        <f t="shared" si="20"/>
        <v>0</v>
      </c>
      <c r="BS34" s="89">
        <f t="shared" si="20"/>
        <v>0</v>
      </c>
      <c r="BT34" s="89">
        <f t="shared" si="20"/>
        <v>0</v>
      </c>
      <c r="BU34" s="89">
        <f t="shared" si="20"/>
        <v>0</v>
      </c>
      <c r="BV34" s="89">
        <f t="shared" si="20"/>
        <v>0</v>
      </c>
    </row>
    <row r="35" spans="2:74" ht="18.75" customHeight="1">
      <c r="B35" s="84" t="s">
        <v>223</v>
      </c>
      <c r="C35" s="85" t="s">
        <v>51</v>
      </c>
      <c r="D35" s="85" t="s">
        <v>325</v>
      </c>
      <c r="E35" s="85" t="s">
        <v>18</v>
      </c>
      <c r="F35" s="85" t="s">
        <v>321</v>
      </c>
      <c r="G35" s="86">
        <v>46235</v>
      </c>
      <c r="H35" s="87"/>
      <c r="I35" s="87">
        <v>150</v>
      </c>
      <c r="J35" s="87">
        <v>300</v>
      </c>
      <c r="K35" s="88">
        <f t="shared" si="0"/>
        <v>0</v>
      </c>
      <c r="L35" s="88">
        <f t="shared" si="1"/>
        <v>0</v>
      </c>
      <c r="M35" s="88">
        <f t="shared" si="2"/>
        <v>150</v>
      </c>
      <c r="N35" s="89">
        <f t="shared" si="15"/>
        <v>0</v>
      </c>
      <c r="O35" s="89">
        <f t="shared" si="15"/>
        <v>0</v>
      </c>
      <c r="P35" s="89">
        <f t="shared" si="15"/>
        <v>0</v>
      </c>
      <c r="Q35" s="89">
        <f t="shared" si="15"/>
        <v>0</v>
      </c>
      <c r="R35" s="89">
        <f t="shared" si="15"/>
        <v>0</v>
      </c>
      <c r="S35" s="89">
        <f t="shared" si="15"/>
        <v>0</v>
      </c>
      <c r="T35" s="89">
        <f t="shared" si="15"/>
        <v>0</v>
      </c>
      <c r="U35" s="89">
        <f t="shared" si="15"/>
        <v>0</v>
      </c>
      <c r="V35" s="89">
        <f t="shared" si="15"/>
        <v>0</v>
      </c>
      <c r="W35" s="89">
        <f t="shared" si="15"/>
        <v>0</v>
      </c>
      <c r="X35" s="89">
        <f t="shared" si="16"/>
        <v>0</v>
      </c>
      <c r="Y35" s="89">
        <f t="shared" si="16"/>
        <v>0</v>
      </c>
      <c r="Z35" s="89">
        <f t="shared" si="16"/>
        <v>0</v>
      </c>
      <c r="AA35" s="89">
        <f t="shared" si="16"/>
        <v>0</v>
      </c>
      <c r="AB35" s="89">
        <f t="shared" si="16"/>
        <v>0</v>
      </c>
      <c r="AC35" s="89">
        <f t="shared" si="16"/>
        <v>0</v>
      </c>
      <c r="AD35" s="89">
        <f t="shared" si="16"/>
        <v>0</v>
      </c>
      <c r="AE35" s="89">
        <f t="shared" si="16"/>
        <v>0</v>
      </c>
      <c r="AF35" s="89">
        <f t="shared" si="16"/>
        <v>0</v>
      </c>
      <c r="AG35" s="89">
        <f t="shared" si="16"/>
        <v>0</v>
      </c>
      <c r="AH35" s="89">
        <f t="shared" si="17"/>
        <v>0</v>
      </c>
      <c r="AI35" s="89">
        <f t="shared" si="17"/>
        <v>0</v>
      </c>
      <c r="AJ35" s="89">
        <f t="shared" si="17"/>
        <v>0</v>
      </c>
      <c r="AK35" s="89">
        <f t="shared" si="17"/>
        <v>0</v>
      </c>
      <c r="AL35" s="89">
        <f t="shared" si="17"/>
        <v>0</v>
      </c>
      <c r="AM35" s="89">
        <f t="shared" si="17"/>
        <v>12.5</v>
      </c>
      <c r="AN35" s="89">
        <f t="shared" si="17"/>
        <v>12.5</v>
      </c>
      <c r="AO35" s="89">
        <f t="shared" si="17"/>
        <v>12.5</v>
      </c>
      <c r="AP35" s="89">
        <f t="shared" si="17"/>
        <v>12.5</v>
      </c>
      <c r="AQ35" s="89">
        <f t="shared" si="17"/>
        <v>12.5</v>
      </c>
      <c r="AR35" s="89">
        <f t="shared" si="18"/>
        <v>12.5</v>
      </c>
      <c r="AS35" s="89">
        <f t="shared" si="18"/>
        <v>12.5</v>
      </c>
      <c r="AT35" s="89">
        <f t="shared" si="18"/>
        <v>12.5</v>
      </c>
      <c r="AU35" s="89">
        <f t="shared" si="18"/>
        <v>12.5</v>
      </c>
      <c r="AV35" s="89">
        <f t="shared" si="18"/>
        <v>12.5</v>
      </c>
      <c r="AW35" s="89">
        <f t="shared" si="18"/>
        <v>12.5</v>
      </c>
      <c r="AX35" s="89">
        <f t="shared" si="18"/>
        <v>12.5</v>
      </c>
      <c r="AY35" s="89">
        <f t="shared" si="18"/>
        <v>25</v>
      </c>
      <c r="AZ35" s="89">
        <f t="shared" si="18"/>
        <v>25</v>
      </c>
      <c r="BA35" s="89">
        <f t="shared" si="18"/>
        <v>25</v>
      </c>
      <c r="BB35" s="89">
        <f t="shared" si="19"/>
        <v>25</v>
      </c>
      <c r="BC35" s="89">
        <f t="shared" si="19"/>
        <v>25</v>
      </c>
      <c r="BD35" s="89">
        <f t="shared" si="19"/>
        <v>25</v>
      </c>
      <c r="BE35" s="89">
        <f t="shared" si="19"/>
        <v>25</v>
      </c>
      <c r="BF35" s="89">
        <f t="shared" si="19"/>
        <v>25</v>
      </c>
      <c r="BG35" s="89">
        <f t="shared" si="19"/>
        <v>25</v>
      </c>
      <c r="BH35" s="89">
        <f t="shared" si="19"/>
        <v>25</v>
      </c>
      <c r="BI35" s="89">
        <f t="shared" si="19"/>
        <v>25</v>
      </c>
      <c r="BJ35" s="89">
        <f t="shared" si="19"/>
        <v>25</v>
      </c>
      <c r="BK35" s="89">
        <f t="shared" si="19"/>
        <v>0</v>
      </c>
      <c r="BL35" s="89">
        <f t="shared" si="20"/>
        <v>0</v>
      </c>
      <c r="BM35" s="89">
        <f t="shared" si="20"/>
        <v>0</v>
      </c>
      <c r="BN35" s="89">
        <f t="shared" si="20"/>
        <v>0</v>
      </c>
      <c r="BO35" s="89">
        <f t="shared" si="20"/>
        <v>0</v>
      </c>
      <c r="BP35" s="89">
        <f t="shared" si="20"/>
        <v>0</v>
      </c>
      <c r="BQ35" s="89">
        <f t="shared" si="20"/>
        <v>0</v>
      </c>
      <c r="BR35" s="89">
        <f t="shared" si="20"/>
        <v>0</v>
      </c>
      <c r="BS35" s="89">
        <f t="shared" si="20"/>
        <v>0</v>
      </c>
      <c r="BT35" s="89">
        <f t="shared" si="20"/>
        <v>0</v>
      </c>
      <c r="BU35" s="89">
        <f t="shared" si="20"/>
        <v>0</v>
      </c>
      <c r="BV35" s="89">
        <f t="shared" si="20"/>
        <v>0</v>
      </c>
    </row>
    <row r="37" spans="2:74" ht="18.75" customHeight="1">
      <c r="B37" s="79" t="s">
        <v>326</v>
      </c>
    </row>
    <row r="38" spans="2:74" ht="18.75" customHeight="1">
      <c r="B38" s="90" t="s">
        <v>327</v>
      </c>
    </row>
  </sheetData>
  <phoneticPr fontId="45"/>
  <conditionalFormatting sqref="N5:BV35">
    <cfRule type="expression" dxfId="0" priority="2">
      <formula>N$4&lt;$G5</formula>
    </cfRule>
  </conditionalFormatting>
  <pageMargins left="0.75" right="0.75" top="1" bottom="1"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e9f487b-6ed7-492e-b710-3fe1a5a7c1b8" xsi:nil="true"/>
    <lcf76f155ced4ddcb4097134ff3c332f xmlns="09e4370b-02e8-4186-a848-bc979d8223b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382010BD85E5F14C8FB463E574287D3A" ma:contentTypeVersion="12" ma:contentTypeDescription="新しいドキュメントを作成します。" ma:contentTypeScope="" ma:versionID="eb573a6a6623fc03dbc50a823a8c9f65">
  <xsd:schema xmlns:xsd="http://www.w3.org/2001/XMLSchema" xmlns:xs="http://www.w3.org/2001/XMLSchema" xmlns:p="http://schemas.microsoft.com/office/2006/metadata/properties" xmlns:ns2="09e4370b-02e8-4186-a848-bc979d8223b9" xmlns:ns3="8e9f487b-6ed7-492e-b710-3fe1a5a7c1b8" targetNamespace="http://schemas.microsoft.com/office/2006/metadata/properties" ma:root="true" ma:fieldsID="e3899c7c20f12ac1c7c4da5eb28f914a" ns2:_="" ns3:_="">
    <xsd:import namespace="09e4370b-02e8-4186-a848-bc979d8223b9"/>
    <xsd:import namespace="8e9f487b-6ed7-492e-b710-3fe1a5a7c1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e4370b-02e8-4186-a848-bc979d8223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a51758a-f41d-49cd-b39d-03773b5dfc9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9f487b-6ed7-492e-b710-3fe1a5a7c1b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3375d80-7f4b-4767-b5ed-08d96c030009}" ma:internalName="TaxCatchAll" ma:showField="CatchAllData" ma:web="8e9f487b-6ed7-492e-b710-3fe1a5a7c1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42090C-A28D-474C-9914-7FEEB6C2E6CC}">
  <ds:schemaRefs>
    <ds:schemaRef ds:uri="http://schemas.microsoft.com/office/2006/metadata/properties"/>
    <ds:schemaRef ds:uri="http://schemas.microsoft.com/office/infopath/2007/PartnerControls"/>
    <ds:schemaRef ds:uri="8e9f487b-6ed7-492e-b710-3fe1a5a7c1b8"/>
    <ds:schemaRef ds:uri="09e4370b-02e8-4186-a848-bc979d8223b9"/>
  </ds:schemaRefs>
</ds:datastoreItem>
</file>

<file path=customXml/itemProps2.xml><?xml version="1.0" encoding="utf-8"?>
<ds:datastoreItem xmlns:ds="http://schemas.openxmlformats.org/officeDocument/2006/customXml" ds:itemID="{B7106D8A-7412-4C94-A77C-8251AD3CC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e4370b-02e8-4186-a848-bc979d8223b9"/>
    <ds:schemaRef ds:uri="8e9f487b-6ed7-492e-b710-3fe1a5a7c1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A541D5-83FB-408C-915B-0511B3510E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FY26アーカイブ</vt:lpstr>
      <vt:lpstr>論点・確認事項</vt:lpstr>
      <vt:lpstr>FY27目標設定</vt:lpstr>
      <vt:lpstr>FY27目標設定_70億ベース</vt:lpstr>
      <vt:lpstr>Practice別</vt:lpstr>
      <vt:lpstr>月次バックデータ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武留 山本</dc:creator>
  <dc:description/>
  <cp:lastModifiedBy>PC1954</cp:lastModifiedBy>
  <cp:revision>0</cp:revision>
  <dcterms:created xsi:type="dcterms:W3CDTF">2026-10-08T03:48:44Z</dcterms:created>
  <dcterms:modified xsi:type="dcterms:W3CDTF">2026-10-14T13:12:50Z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0x010100382010BD85E5F14C8FB463E574287D3A</vt:lpwstr>
  </property>
  <property fmtid="{D5CDD505-2E9C-101B-9397-08002B2CF9AE}" pid="3" name="MediaServiceImageTags">
    <vt:lpwstr/>
  </property>
</Properties>
</file>